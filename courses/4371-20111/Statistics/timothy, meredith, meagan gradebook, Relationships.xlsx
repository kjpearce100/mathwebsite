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ml.chartshap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6"/>
  <workbookPr autoCompressPictures="0"/>
  <bookViews>
    <workbookView xWindow="480" yWindow="75" windowWidth="18195" windowHeight="11820"/>
  </bookViews>
  <sheets>
    <sheet name="Sheet1" sheetId="1" r:id="rId1"/>
    <sheet name="Sheet2" sheetId="2" r:id="rId2"/>
    <sheet name="Sheet3" sheetId="3" r:id="rId3"/>
    <sheet name="Sheet4" sheetId="4" r:id="rId4"/>
    <sheet name="Sheet5" sheetId="5" r:id="rId5"/>
    <sheet name="Sheet6" sheetId="6" r:id="rId6"/>
    <sheet name="Sheet7" sheetId="7" r:id="rId7"/>
  </sheets>
  <calcPr calcId="125725" concurrentCalc="0"/>
  <extLst>
    <ext xmlns:mx="http://schemas.microsoft.com/office/mac/excel/2008/main" uri="{7523E5D3-25F3-A5E0-1632-64F254C22452}">
      <mx:ArchID Flags="2"/>
    </ext>
  </extLst>
</workbook>
</file>

<file path=xl/calcChain.xml><?xml version="1.0" encoding="utf-8"?>
<calcChain xmlns="http://schemas.openxmlformats.org/spreadsheetml/2006/main">
  <c r="J28" i="7"/>
  <c r="J27"/>
  <c r="J26"/>
  <c r="F3" i="5"/>
  <c r="F4"/>
  <c r="F5"/>
  <c r="F6"/>
  <c r="F7"/>
  <c r="F8"/>
  <c r="F9"/>
  <c r="F10"/>
  <c r="F11"/>
  <c r="F15"/>
  <c r="F14"/>
  <c r="C11"/>
  <c r="E3" i="6"/>
  <c r="E4"/>
  <c r="E5"/>
  <c r="E6"/>
  <c r="E7"/>
  <c r="E8"/>
  <c r="E9"/>
  <c r="E10"/>
  <c r="E11"/>
  <c r="E15"/>
  <c r="D15"/>
  <c r="D14"/>
  <c r="E14"/>
  <c r="G3"/>
  <c r="G4"/>
  <c r="G5"/>
  <c r="G6"/>
  <c r="G7"/>
  <c r="G8"/>
  <c r="G9"/>
  <c r="G10"/>
  <c r="G11"/>
  <c r="G15"/>
  <c r="G14"/>
  <c r="F15"/>
  <c r="C15"/>
  <c r="B15"/>
  <c r="F14"/>
  <c r="C14"/>
  <c r="B14"/>
  <c r="P15" i="5"/>
  <c r="O15"/>
  <c r="N15"/>
  <c r="M15"/>
  <c r="L15"/>
  <c r="K15"/>
  <c r="J15"/>
  <c r="I15"/>
  <c r="H15"/>
  <c r="G15"/>
  <c r="E15"/>
  <c r="D15"/>
  <c r="P14"/>
  <c r="O14"/>
  <c r="N14"/>
  <c r="M14"/>
  <c r="L14"/>
  <c r="K14"/>
  <c r="J14"/>
  <c r="I14"/>
  <c r="H14"/>
  <c r="G14"/>
  <c r="E14"/>
  <c r="D14"/>
  <c r="C10"/>
  <c r="C9"/>
  <c r="C8"/>
  <c r="C7"/>
  <c r="C6"/>
  <c r="C5"/>
  <c r="C4"/>
  <c r="D15" i="4"/>
  <c r="E15"/>
  <c r="G15"/>
  <c r="H15"/>
  <c r="I15"/>
  <c r="J15"/>
  <c r="K15"/>
  <c r="L15"/>
  <c r="M15"/>
  <c r="N15"/>
  <c r="O15"/>
  <c r="P15"/>
  <c r="D14"/>
  <c r="E14"/>
  <c r="G14"/>
  <c r="H14"/>
  <c r="I14"/>
  <c r="J14"/>
  <c r="K14"/>
  <c r="L14"/>
  <c r="M14"/>
  <c r="N14"/>
  <c r="O14"/>
  <c r="P14"/>
  <c r="F4"/>
  <c r="C4"/>
  <c r="F5"/>
  <c r="C5"/>
  <c r="F6"/>
  <c r="C6"/>
  <c r="F7"/>
  <c r="C7"/>
  <c r="F8"/>
  <c r="C8"/>
  <c r="F9"/>
  <c r="C9"/>
  <c r="F10"/>
  <c r="C10"/>
  <c r="F11"/>
  <c r="C11"/>
  <c r="F3"/>
  <c r="F14"/>
  <c r="C15" i="3"/>
  <c r="D15"/>
  <c r="E3"/>
  <c r="E4"/>
  <c r="E5"/>
  <c r="E6"/>
  <c r="E7"/>
  <c r="E8"/>
  <c r="E9"/>
  <c r="E10"/>
  <c r="E11"/>
  <c r="E15"/>
  <c r="B15"/>
  <c r="C14"/>
  <c r="D14"/>
  <c r="E14"/>
  <c r="B14"/>
  <c r="C15" i="2"/>
  <c r="D15"/>
  <c r="E15"/>
  <c r="F15"/>
  <c r="G3"/>
  <c r="G4"/>
  <c r="G5"/>
  <c r="G6"/>
  <c r="G7"/>
  <c r="G8"/>
  <c r="G9"/>
  <c r="G10"/>
  <c r="G11"/>
  <c r="G15"/>
  <c r="B15"/>
  <c r="C14"/>
  <c r="D14"/>
  <c r="E14"/>
  <c r="F14"/>
  <c r="G14"/>
  <c r="B14"/>
  <c r="C3" i="5"/>
  <c r="F15" i="4"/>
  <c r="C3"/>
  <c r="C16" i="1"/>
  <c r="D16"/>
  <c r="E16"/>
  <c r="F16"/>
  <c r="G16"/>
  <c r="H3"/>
  <c r="H4"/>
  <c r="H5"/>
  <c r="H6"/>
  <c r="H7"/>
  <c r="H8"/>
  <c r="H9"/>
  <c r="H10"/>
  <c r="H11"/>
  <c r="H16"/>
  <c r="H13"/>
  <c r="I3"/>
  <c r="I4"/>
  <c r="I5"/>
  <c r="I6"/>
  <c r="I7"/>
  <c r="I8"/>
  <c r="I9"/>
  <c r="I10"/>
  <c r="I11"/>
  <c r="I16"/>
  <c r="D15"/>
  <c r="E15"/>
  <c r="F15"/>
  <c r="G15"/>
  <c r="H15"/>
  <c r="I15"/>
  <c r="C15"/>
  <c r="B16"/>
  <c r="B15"/>
  <c r="I13"/>
  <c r="C15" i="5"/>
  <c r="C14"/>
  <c r="C14" i="4"/>
  <c r="C15"/>
</calcChain>
</file>

<file path=xl/sharedStrings.xml><?xml version="1.0" encoding="utf-8"?>
<sst xmlns="http://schemas.openxmlformats.org/spreadsheetml/2006/main" count="214" uniqueCount="61">
  <si>
    <t xml:space="preserve">Students </t>
  </si>
  <si>
    <t xml:space="preserve">Bob </t>
  </si>
  <si>
    <t>Lilly</t>
  </si>
  <si>
    <t>Cameron</t>
  </si>
  <si>
    <t>Sammy</t>
  </si>
  <si>
    <t>Katie</t>
  </si>
  <si>
    <t>Valerie</t>
  </si>
  <si>
    <t>Rachel</t>
  </si>
  <si>
    <t>Reggie</t>
  </si>
  <si>
    <t>Zach</t>
  </si>
  <si>
    <t>Math 4331: Grades</t>
  </si>
  <si>
    <t>Mid-term Exam</t>
  </si>
  <si>
    <t>Final Exam</t>
  </si>
  <si>
    <t>Lab Projects</t>
  </si>
  <si>
    <t>Historical Project/Presentation</t>
  </si>
  <si>
    <t>Statistics Project</t>
  </si>
  <si>
    <t>Final Project</t>
  </si>
  <si>
    <t>Grade Total</t>
  </si>
  <si>
    <t xml:space="preserve">Final Grade </t>
  </si>
  <si>
    <t>Letter Grade</t>
  </si>
  <si>
    <t>Mean</t>
  </si>
  <si>
    <t>St. Dev.</t>
  </si>
  <si>
    <t>Perfect Score</t>
  </si>
  <si>
    <t>C</t>
  </si>
  <si>
    <t>B</t>
  </si>
  <si>
    <t>A</t>
  </si>
  <si>
    <t>Test One</t>
  </si>
  <si>
    <t>Test Two</t>
  </si>
  <si>
    <t>Test Three</t>
  </si>
  <si>
    <t>Course Grades</t>
  </si>
  <si>
    <t>Homework</t>
  </si>
  <si>
    <t>St. Deviation</t>
  </si>
  <si>
    <t>Midterm</t>
  </si>
  <si>
    <t>Homework 1</t>
  </si>
  <si>
    <t>Homework 2</t>
  </si>
  <si>
    <t>Homework 3</t>
  </si>
  <si>
    <t>Homework 4</t>
  </si>
  <si>
    <t>Homework 5</t>
  </si>
  <si>
    <t>Homework 6</t>
  </si>
  <si>
    <t>Homework 7</t>
  </si>
  <si>
    <t>Homework 8</t>
  </si>
  <si>
    <t>Homework 9</t>
  </si>
  <si>
    <t>Homework 10</t>
  </si>
  <si>
    <t>Homework Average</t>
  </si>
  <si>
    <t>Test 1</t>
  </si>
  <si>
    <t>Test 2</t>
  </si>
  <si>
    <t>Test 3</t>
  </si>
  <si>
    <t>Hours Sleeping</t>
  </si>
  <si>
    <t>Hours Studying</t>
  </si>
  <si>
    <t>GPA</t>
  </si>
  <si>
    <t>Test Average</t>
  </si>
  <si>
    <t>Least Square Regression</t>
  </si>
  <si>
    <t>(gpa,sleep)</t>
  </si>
  <si>
    <t>y=.157x+6.3232</t>
  </si>
  <si>
    <t>(gpa, study)</t>
  </si>
  <si>
    <t>y=1.89x-3.736</t>
  </si>
  <si>
    <t>(sleep, study)</t>
  </si>
  <si>
    <t>y=.02x+.934</t>
  </si>
  <si>
    <t>Correlation Coefficient</t>
  </si>
  <si>
    <t>20/20</t>
  </si>
  <si>
    <t>54/54</t>
  </si>
</sst>
</file>

<file path=xl/styles.xml><?xml version="1.0" encoding="utf-8"?>
<styleSheet xmlns="http://schemas.openxmlformats.org/spreadsheetml/2006/main">
  <fonts count="6">
    <font>
      <sz val="11"/>
      <color theme="1"/>
      <name val="Calibri"/>
      <family val="2"/>
      <scheme val="minor"/>
    </font>
    <font>
      <sz val="11"/>
      <color theme="1"/>
      <name val="Calibri"/>
      <family val="2"/>
      <scheme val="minor"/>
    </font>
    <font>
      <u/>
      <sz val="11"/>
      <color theme="10"/>
      <name val="Calibri"/>
      <family val="2"/>
      <scheme val="minor"/>
    </font>
    <font>
      <u/>
      <sz val="11"/>
      <color theme="11"/>
      <name val="Calibri"/>
      <family val="2"/>
      <scheme val="minor"/>
    </font>
    <font>
      <sz val="11"/>
      <color rgb="FF00000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7">
    <xf numFmtId="0" fontId="0" fillId="0" borderId="0" xfId="0"/>
    <xf numFmtId="9" fontId="0" fillId="0" borderId="0" xfId="0" applyNumberFormat="1"/>
    <xf numFmtId="0" fontId="0" fillId="0" borderId="0" xfId="0" applyNumberFormat="1"/>
    <xf numFmtId="10" fontId="0" fillId="0" borderId="0" xfId="0" applyNumberFormat="1"/>
    <xf numFmtId="9" fontId="0" fillId="0" borderId="0" xfId="1" applyFont="1"/>
    <xf numFmtId="0" fontId="4" fillId="0" borderId="0" xfId="0" applyFont="1"/>
    <xf numFmtId="0" fontId="5" fillId="0" borderId="0" xfId="0" applyFont="1"/>
  </cellXfs>
  <cellStyles count="4">
    <cellStyle name="Followed Hyperlink" xfId="3" builtinId="9" hidden="1"/>
    <cellStyle name="Hyperlink" xfId="2" builtinId="8" hidden="1"/>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8"/>
  <c:chart>
    <c:title>
      <c:layout/>
    </c:title>
    <c:plotArea>
      <c:layout>
        <c:manualLayout>
          <c:layoutTarget val="inner"/>
          <c:xMode val="edge"/>
          <c:yMode val="edge"/>
          <c:x val="5.9479221347331621E-2"/>
          <c:y val="0.20648148148148115"/>
          <c:w val="0.64122637795275583"/>
          <c:h val="0.67154345290172024"/>
        </c:manualLayout>
      </c:layout>
      <c:scatterChart>
        <c:scatterStyle val="lineMarker"/>
        <c:ser>
          <c:idx val="0"/>
          <c:order val="0"/>
          <c:tx>
            <c:strRef>
              <c:f>Sheet7!$B$1</c:f>
              <c:strCache>
                <c:ptCount val="1"/>
                <c:pt idx="0">
                  <c:v>Hours Sleeping</c:v>
                </c:pt>
              </c:strCache>
            </c:strRef>
          </c:tx>
          <c:spPr>
            <a:ln w="47625">
              <a:noFill/>
            </a:ln>
          </c:spPr>
          <c:trendline>
            <c:trendlineType val="linear"/>
          </c:trendline>
          <c:xVal>
            <c:numRef>
              <c:f>Sheet7!$A$2:$A$11</c:f>
              <c:numCache>
                <c:formatCode>General</c:formatCode>
                <c:ptCount val="10"/>
                <c:pt idx="0">
                  <c:v>2.4</c:v>
                </c:pt>
                <c:pt idx="1">
                  <c:v>2.7</c:v>
                </c:pt>
                <c:pt idx="2">
                  <c:v>2.9</c:v>
                </c:pt>
                <c:pt idx="3">
                  <c:v>3</c:v>
                </c:pt>
                <c:pt idx="4">
                  <c:v>3.1</c:v>
                </c:pt>
                <c:pt idx="5">
                  <c:v>3.2</c:v>
                </c:pt>
                <c:pt idx="6">
                  <c:v>3.5</c:v>
                </c:pt>
                <c:pt idx="7">
                  <c:v>3.7</c:v>
                </c:pt>
                <c:pt idx="8">
                  <c:v>3.9</c:v>
                </c:pt>
                <c:pt idx="9">
                  <c:v>4</c:v>
                </c:pt>
              </c:numCache>
            </c:numRef>
          </c:xVal>
          <c:yVal>
            <c:numRef>
              <c:f>Sheet7!$B$2:$B$11</c:f>
              <c:numCache>
                <c:formatCode>General</c:formatCode>
                <c:ptCount val="10"/>
                <c:pt idx="0">
                  <c:v>6.7</c:v>
                </c:pt>
                <c:pt idx="1">
                  <c:v>6.3</c:v>
                </c:pt>
                <c:pt idx="2">
                  <c:v>8.6999999999999993</c:v>
                </c:pt>
                <c:pt idx="3">
                  <c:v>7.3</c:v>
                </c:pt>
                <c:pt idx="4">
                  <c:v>7.1</c:v>
                </c:pt>
                <c:pt idx="5">
                  <c:v>7.6</c:v>
                </c:pt>
                <c:pt idx="6">
                  <c:v>6.9</c:v>
                </c:pt>
                <c:pt idx="7">
                  <c:v>7.2</c:v>
                </c:pt>
                <c:pt idx="8">
                  <c:v>8.5</c:v>
                </c:pt>
                <c:pt idx="9">
                  <c:v>6.2</c:v>
                </c:pt>
              </c:numCache>
            </c:numRef>
          </c:yVal>
        </c:ser>
        <c:axId val="57373056"/>
        <c:axId val="57374976"/>
      </c:scatterChart>
      <c:valAx>
        <c:axId val="57373056"/>
        <c:scaling>
          <c:orientation val="minMax"/>
        </c:scaling>
        <c:axPos val="b"/>
        <c:title>
          <c:tx>
            <c:rich>
              <a:bodyPr/>
              <a:lstStyle/>
              <a:p>
                <a:pPr>
                  <a:defRPr/>
                </a:pPr>
                <a:r>
                  <a:rPr lang="en-US"/>
                  <a:t>GPA</a:t>
                </a:r>
              </a:p>
            </c:rich>
          </c:tx>
          <c:layout/>
        </c:title>
        <c:numFmt formatCode="General" sourceLinked="1"/>
        <c:tickLblPos val="nextTo"/>
        <c:crossAx val="57374976"/>
        <c:crosses val="autoZero"/>
        <c:crossBetween val="midCat"/>
      </c:valAx>
      <c:valAx>
        <c:axId val="57374976"/>
        <c:scaling>
          <c:orientation val="minMax"/>
        </c:scaling>
        <c:axPos val="l"/>
        <c:majorGridlines/>
        <c:numFmt formatCode="General" sourceLinked="1"/>
        <c:tickLblPos val="nextTo"/>
        <c:crossAx val="57373056"/>
        <c:crosses val="autoZero"/>
        <c:crossBetween val="midCat"/>
      </c:valAx>
    </c:plotArea>
    <c:legend>
      <c:legendPos val="r"/>
      <c:layout/>
    </c:legend>
    <c:plotVisOnly val="1"/>
    <c:dispBlanksAs val="gap"/>
  </c:chart>
  <c:printSettings>
    <c:headerFooter/>
    <c:pageMargins b="1" l="0.75000000000000022" r="0.75000000000000022"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8"/>
  <c:chart>
    <c:title>
      <c:layout/>
    </c:title>
    <c:plotArea>
      <c:layout/>
      <c:scatterChart>
        <c:scatterStyle val="lineMarker"/>
        <c:ser>
          <c:idx val="0"/>
          <c:order val="0"/>
          <c:tx>
            <c:strRef>
              <c:f>Sheet7!$C$1</c:f>
              <c:strCache>
                <c:ptCount val="1"/>
                <c:pt idx="0">
                  <c:v>Hours Studying</c:v>
                </c:pt>
              </c:strCache>
            </c:strRef>
          </c:tx>
          <c:spPr>
            <a:ln w="47625">
              <a:noFill/>
            </a:ln>
          </c:spPr>
          <c:trendline>
            <c:trendlineType val="linear"/>
          </c:trendline>
          <c:xVal>
            <c:numRef>
              <c:f>Sheet7!$B$2:$B$11</c:f>
              <c:numCache>
                <c:formatCode>General</c:formatCode>
                <c:ptCount val="10"/>
                <c:pt idx="0">
                  <c:v>6.7</c:v>
                </c:pt>
                <c:pt idx="1">
                  <c:v>6.3</c:v>
                </c:pt>
                <c:pt idx="2">
                  <c:v>8.6999999999999993</c:v>
                </c:pt>
                <c:pt idx="3">
                  <c:v>7.3</c:v>
                </c:pt>
                <c:pt idx="4">
                  <c:v>7.1</c:v>
                </c:pt>
                <c:pt idx="5">
                  <c:v>7.6</c:v>
                </c:pt>
                <c:pt idx="6">
                  <c:v>6.9</c:v>
                </c:pt>
                <c:pt idx="7">
                  <c:v>7.2</c:v>
                </c:pt>
                <c:pt idx="8">
                  <c:v>8.5</c:v>
                </c:pt>
                <c:pt idx="9">
                  <c:v>6.2</c:v>
                </c:pt>
              </c:numCache>
            </c:numRef>
          </c:xVal>
          <c:yVal>
            <c:numRef>
              <c:f>Sheet7!$C$2:$C$11</c:f>
              <c:numCache>
                <c:formatCode>General</c:formatCode>
                <c:ptCount val="10"/>
                <c:pt idx="0">
                  <c:v>0.8</c:v>
                </c:pt>
                <c:pt idx="1">
                  <c:v>1.2</c:v>
                </c:pt>
                <c:pt idx="2">
                  <c:v>1.5</c:v>
                </c:pt>
                <c:pt idx="3">
                  <c:v>1.4</c:v>
                </c:pt>
                <c:pt idx="4">
                  <c:v>2.2000000000000002</c:v>
                </c:pt>
                <c:pt idx="5">
                  <c:v>2</c:v>
                </c:pt>
                <c:pt idx="6">
                  <c:v>2.7</c:v>
                </c:pt>
                <c:pt idx="7">
                  <c:v>2.2999999999999998</c:v>
                </c:pt>
                <c:pt idx="8">
                  <c:v>3.4</c:v>
                </c:pt>
                <c:pt idx="9">
                  <c:v>4.2</c:v>
                </c:pt>
              </c:numCache>
            </c:numRef>
          </c:yVal>
        </c:ser>
        <c:axId val="57404416"/>
        <c:axId val="80352384"/>
      </c:scatterChart>
      <c:valAx>
        <c:axId val="57404416"/>
        <c:scaling>
          <c:orientation val="minMax"/>
        </c:scaling>
        <c:axPos val="b"/>
        <c:title>
          <c:tx>
            <c:rich>
              <a:bodyPr/>
              <a:lstStyle/>
              <a:p>
                <a:pPr>
                  <a:defRPr/>
                </a:pPr>
                <a:r>
                  <a:rPr lang="en-US"/>
                  <a:t>Hours Sleeping</a:t>
                </a:r>
              </a:p>
            </c:rich>
          </c:tx>
          <c:layout/>
        </c:title>
        <c:numFmt formatCode="General" sourceLinked="1"/>
        <c:tickLblPos val="nextTo"/>
        <c:crossAx val="80352384"/>
        <c:crosses val="autoZero"/>
        <c:crossBetween val="midCat"/>
      </c:valAx>
      <c:valAx>
        <c:axId val="80352384"/>
        <c:scaling>
          <c:orientation val="minMax"/>
        </c:scaling>
        <c:axPos val="l"/>
        <c:majorGridlines/>
        <c:numFmt formatCode="General" sourceLinked="1"/>
        <c:tickLblPos val="nextTo"/>
        <c:crossAx val="57404416"/>
        <c:crosses val="autoZero"/>
        <c:crossBetween val="midCat"/>
      </c:valAx>
    </c:plotArea>
    <c:legend>
      <c:legendPos val="r"/>
      <c:layout/>
    </c:legend>
    <c:plotVisOnly val="1"/>
    <c:dispBlanksAs val="gap"/>
  </c:chart>
  <c:printSettings>
    <c:headerFooter/>
    <c:pageMargins b="1" l="0.75000000000000022" r="0.75000000000000022" t="1" header="0.5" footer="0.5"/>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lang val="en-US"/>
  <c:style val="18"/>
  <c:chart>
    <c:title>
      <c:layout/>
    </c:title>
    <c:plotArea>
      <c:layout>
        <c:manualLayout>
          <c:layoutTarget val="inner"/>
          <c:xMode val="edge"/>
          <c:yMode val="edge"/>
          <c:x val="7.2047025371828499E-2"/>
          <c:y val="0.20648148148148115"/>
          <c:w val="0.63175918635170625"/>
          <c:h val="0.67154345290172024"/>
        </c:manualLayout>
      </c:layout>
      <c:scatterChart>
        <c:scatterStyle val="lineMarker"/>
        <c:ser>
          <c:idx val="0"/>
          <c:order val="0"/>
          <c:tx>
            <c:strRef>
              <c:f>Sheet7!$C$1</c:f>
              <c:strCache>
                <c:ptCount val="1"/>
                <c:pt idx="0">
                  <c:v>Hours Studying</c:v>
                </c:pt>
              </c:strCache>
            </c:strRef>
          </c:tx>
          <c:spPr>
            <a:ln w="47625">
              <a:noFill/>
            </a:ln>
          </c:spPr>
          <c:trendline>
            <c:trendlineType val="linear"/>
          </c:trendline>
          <c:trendline>
            <c:trendlineType val="linear"/>
          </c:trendline>
          <c:xVal>
            <c:numRef>
              <c:f>Sheet7!$A$2:$A$11</c:f>
              <c:numCache>
                <c:formatCode>General</c:formatCode>
                <c:ptCount val="10"/>
                <c:pt idx="0">
                  <c:v>2.4</c:v>
                </c:pt>
                <c:pt idx="1">
                  <c:v>2.7</c:v>
                </c:pt>
                <c:pt idx="2">
                  <c:v>2.9</c:v>
                </c:pt>
                <c:pt idx="3">
                  <c:v>3</c:v>
                </c:pt>
                <c:pt idx="4">
                  <c:v>3.1</c:v>
                </c:pt>
                <c:pt idx="5">
                  <c:v>3.2</c:v>
                </c:pt>
                <c:pt idx="6">
                  <c:v>3.5</c:v>
                </c:pt>
                <c:pt idx="7">
                  <c:v>3.7</c:v>
                </c:pt>
                <c:pt idx="8">
                  <c:v>3.9</c:v>
                </c:pt>
                <c:pt idx="9">
                  <c:v>4</c:v>
                </c:pt>
              </c:numCache>
            </c:numRef>
          </c:xVal>
          <c:yVal>
            <c:numRef>
              <c:f>Sheet7!$C$2:$C$11</c:f>
              <c:numCache>
                <c:formatCode>General</c:formatCode>
                <c:ptCount val="10"/>
                <c:pt idx="0">
                  <c:v>0.8</c:v>
                </c:pt>
                <c:pt idx="1">
                  <c:v>1.2</c:v>
                </c:pt>
                <c:pt idx="2">
                  <c:v>1.5</c:v>
                </c:pt>
                <c:pt idx="3">
                  <c:v>1.4</c:v>
                </c:pt>
                <c:pt idx="4">
                  <c:v>2.2000000000000002</c:v>
                </c:pt>
                <c:pt idx="5">
                  <c:v>2</c:v>
                </c:pt>
                <c:pt idx="6">
                  <c:v>2.7</c:v>
                </c:pt>
                <c:pt idx="7">
                  <c:v>2.2999999999999998</c:v>
                </c:pt>
                <c:pt idx="8">
                  <c:v>3.4</c:v>
                </c:pt>
                <c:pt idx="9">
                  <c:v>4.2</c:v>
                </c:pt>
              </c:numCache>
            </c:numRef>
          </c:yVal>
        </c:ser>
        <c:axId val="82201600"/>
        <c:axId val="80401536"/>
      </c:scatterChart>
      <c:valAx>
        <c:axId val="82201600"/>
        <c:scaling>
          <c:orientation val="minMax"/>
        </c:scaling>
        <c:axPos val="b"/>
        <c:title>
          <c:tx>
            <c:rich>
              <a:bodyPr/>
              <a:lstStyle/>
              <a:p>
                <a:pPr>
                  <a:defRPr/>
                </a:pPr>
                <a:r>
                  <a:rPr lang="en-US"/>
                  <a:t>GPA</a:t>
                </a:r>
              </a:p>
            </c:rich>
          </c:tx>
          <c:layout/>
        </c:title>
        <c:numFmt formatCode="General" sourceLinked="1"/>
        <c:tickLblPos val="nextTo"/>
        <c:crossAx val="80401536"/>
        <c:crosses val="autoZero"/>
        <c:crossBetween val="midCat"/>
      </c:valAx>
      <c:valAx>
        <c:axId val="80401536"/>
        <c:scaling>
          <c:orientation val="minMax"/>
        </c:scaling>
        <c:axPos val="l"/>
        <c:majorGridlines/>
        <c:numFmt formatCode="General" sourceLinked="1"/>
        <c:tickLblPos val="nextTo"/>
        <c:crossAx val="82201600"/>
        <c:crosses val="autoZero"/>
        <c:crossBetween val="midCat"/>
      </c:valAx>
    </c:plotArea>
    <c:legend>
      <c:legendPos val="r"/>
      <c:layout/>
    </c:legend>
    <c:plotVisOnly val="1"/>
    <c:dispBlanksAs val="gap"/>
  </c:chart>
  <c:printSettings>
    <c:headerFooter/>
    <c:pageMargins b="1" l="0.75000000000000022" r="0.75000000000000022" t="1" header="0.5" footer="0.5"/>
    <c:pageSetup paperSize="0" orientation="portrait" horizontalDpi="-4" verticalDpi="-4"/>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215900</xdr:colOff>
      <xdr:row>14</xdr:row>
      <xdr:rowOff>50800</xdr:rowOff>
    </xdr:from>
    <xdr:to>
      <xdr:col>5</xdr:col>
      <xdr:colOff>558800</xdr:colOff>
      <xdr:row>29</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88900</xdr:rowOff>
    </xdr:from>
    <xdr:to>
      <xdr:col>5</xdr:col>
      <xdr:colOff>342900</xdr:colOff>
      <xdr:row>46</xdr:row>
      <xdr:rowOff>165100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558800</xdr:colOff>
      <xdr:row>2</xdr:row>
      <xdr:rowOff>165100</xdr:rowOff>
    </xdr:from>
    <xdr:to>
      <xdr:col>13</xdr:col>
      <xdr:colOff>419100</xdr:colOff>
      <xdr:row>18</xdr:row>
      <xdr:rowOff>63500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622300</xdr:colOff>
      <xdr:row>20</xdr:row>
      <xdr:rowOff>88900</xdr:rowOff>
    </xdr:from>
    <xdr:ext cx="3695700" cy="1446550"/>
    <xdr:sp macro="" textlink="">
      <xdr:nvSpPr>
        <xdr:cNvPr id="8" name="TextBox 7"/>
        <xdr:cNvSpPr txBox="1"/>
      </xdr:nvSpPr>
      <xdr:spPr>
        <a:xfrm>
          <a:off x="10528300" y="3644900"/>
          <a:ext cx="3695700" cy="1446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4. RESULTS:  After viewing the data and calculating</a:t>
          </a:r>
          <a:r>
            <a:rPr lang="en-US" sz="1100" baseline="0"/>
            <a:t> the least square regression and corelation coefficients, we can determine that of the three comparisions, the only one with a strong correlation is gpa and study. From this we can reasonably conclude that the amount of study will most always effect the gpa. In the other cases there is not conclusive results for us to conclude that sleep has any effect on gpa or that sleep has any effect on study time. </a:t>
          </a:r>
          <a:endParaRPr lang="en-US" sz="1100"/>
        </a:p>
      </xdr:txBody>
    </xdr:sp>
    <xdr:clientData/>
  </xdr:oneCellAnchor>
  <xdr:twoCellAnchor>
    <xdr:from>
      <xdr:col>8</xdr:col>
      <xdr:colOff>76200</xdr:colOff>
      <xdr:row>31</xdr:row>
      <xdr:rowOff>50800</xdr:rowOff>
    </xdr:from>
    <xdr:to>
      <xdr:col>11</xdr:col>
      <xdr:colOff>368300</xdr:colOff>
      <xdr:row>39</xdr:row>
      <xdr:rowOff>88900</xdr:rowOff>
    </xdr:to>
    <xdr:sp macro="" textlink="">
      <xdr:nvSpPr>
        <xdr:cNvPr id="9" name="TextBox 8"/>
        <xdr:cNvSpPr txBox="1"/>
      </xdr:nvSpPr>
      <xdr:spPr>
        <a:xfrm>
          <a:off x="7124700" y="5562600"/>
          <a:ext cx="3822700" cy="146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From evaluating scatterplot</a:t>
          </a:r>
          <a:r>
            <a:rPr lang="en-US" sz="1100" baseline="0"/>
            <a:t> A,  there is no evidence that sleep has any effect on your gpa. You can tell because the points on the graph do not form the shape of a line. From evaluating scatterplot B, you can directly corelate that the more you study the better your gpa will be. From evaluating scatterplot C, there is no evidence that hours studying effects hours sleeping. </a:t>
          </a:r>
          <a:endParaRPr lang="en-US" sz="1100"/>
        </a:p>
      </xdr:txBody>
    </xdr:sp>
    <xdr:clientData/>
  </xdr:twoCellAnchor>
  <xdr:oneCellAnchor>
    <xdr:from>
      <xdr:col>0</xdr:col>
      <xdr:colOff>444500</xdr:colOff>
      <xdr:row>15</xdr:row>
      <xdr:rowOff>88900</xdr:rowOff>
    </xdr:from>
    <xdr:ext cx="274434" cy="261610"/>
    <xdr:sp macro="" textlink="">
      <xdr:nvSpPr>
        <xdr:cNvPr id="10" name="TextBox 9"/>
        <xdr:cNvSpPr txBox="1"/>
      </xdr:nvSpPr>
      <xdr:spPr>
        <a:xfrm>
          <a:off x="444500" y="2755900"/>
          <a:ext cx="274434"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0.01111</cdr:x>
      <cdr:y>0.01852</cdr:y>
    </cdr:from>
    <cdr:to>
      <cdr:x>0.06833</cdr:x>
      <cdr:y>0.11389</cdr:y>
    </cdr:to>
    <cdr:sp macro="" textlink="">
      <cdr:nvSpPr>
        <cdr:cNvPr id="3" name="TextBox 2"/>
        <cdr:cNvSpPr txBox="1"/>
      </cdr:nvSpPr>
      <cdr:spPr>
        <a:xfrm xmlns:a="http://schemas.openxmlformats.org/drawingml/2006/main">
          <a:off x="50800" y="50800"/>
          <a:ext cx="261610" cy="2616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C</a:t>
          </a:r>
        </a:p>
      </cdr:txBody>
    </cdr:sp>
  </cdr:relSizeAnchor>
</c:userShapes>
</file>

<file path=xl/drawings/drawing3.xml><?xml version="1.0" encoding="utf-8"?>
<c:userShapes xmlns:c="http://schemas.openxmlformats.org/drawingml/2006/chart">
  <cdr:relSizeAnchor xmlns:cdr="http://schemas.openxmlformats.org/drawingml/2006/chartDrawing">
    <cdr:from>
      <cdr:x>0.00738</cdr:x>
      <cdr:y>0.01852</cdr:y>
    </cdr:from>
    <cdr:to>
      <cdr:x>0.04539</cdr:x>
      <cdr:y>0.11389</cdr:y>
    </cdr:to>
    <cdr:sp macro="" textlink="">
      <cdr:nvSpPr>
        <cdr:cNvPr id="2" name="TextBox 1"/>
        <cdr:cNvSpPr txBox="1"/>
      </cdr:nvSpPr>
      <cdr:spPr>
        <a:xfrm xmlns:a="http://schemas.openxmlformats.org/drawingml/2006/main">
          <a:off x="50800" y="50800"/>
          <a:ext cx="261610" cy="2616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B</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M19"/>
  <sheetViews>
    <sheetView tabSelected="1" workbookViewId="0">
      <selection activeCell="A19" sqref="A19"/>
    </sheetView>
  </sheetViews>
  <sheetFormatPr defaultColWidth="8.85546875" defaultRowHeight="15"/>
  <cols>
    <col min="1" max="1" width="17.42578125" bestFit="1" customWidth="1"/>
    <col min="2" max="2" width="14.7109375" bestFit="1" customWidth="1"/>
    <col min="3" max="3" width="10.42578125" bestFit="1" customWidth="1"/>
    <col min="4" max="4" width="11.42578125" bestFit="1" customWidth="1"/>
    <col min="5" max="5" width="28.85546875" bestFit="1" customWidth="1"/>
    <col min="6" max="6" width="15.7109375" bestFit="1" customWidth="1"/>
    <col min="7" max="7" width="12" bestFit="1" customWidth="1"/>
    <col min="8" max="8" width="11.140625" bestFit="1" customWidth="1"/>
    <col min="9" max="9" width="11.42578125" bestFit="1" customWidth="1"/>
    <col min="10" max="10" width="11.7109375" bestFit="1" customWidth="1"/>
    <col min="13" max="13" width="14.42578125" bestFit="1" customWidth="1"/>
  </cols>
  <sheetData>
    <row r="1" spans="1:13">
      <c r="A1" t="s">
        <v>10</v>
      </c>
    </row>
    <row r="2" spans="1:13">
      <c r="A2" t="s">
        <v>0</v>
      </c>
      <c r="B2" t="s">
        <v>11</v>
      </c>
      <c r="C2" t="s">
        <v>12</v>
      </c>
      <c r="D2" t="s">
        <v>13</v>
      </c>
      <c r="E2" t="s">
        <v>14</v>
      </c>
      <c r="F2" t="s">
        <v>15</v>
      </c>
      <c r="G2" t="s">
        <v>16</v>
      </c>
      <c r="H2" t="s">
        <v>17</v>
      </c>
      <c r="I2" t="s">
        <v>18</v>
      </c>
      <c r="J2" t="s">
        <v>19</v>
      </c>
    </row>
    <row r="3" spans="1:13">
      <c r="A3" t="s">
        <v>1</v>
      </c>
      <c r="B3">
        <v>72</v>
      </c>
      <c r="C3">
        <v>52</v>
      </c>
      <c r="D3">
        <v>300</v>
      </c>
      <c r="E3">
        <v>72</v>
      </c>
      <c r="F3">
        <v>98</v>
      </c>
      <c r="G3">
        <v>72</v>
      </c>
      <c r="H3">
        <f>SUM(B3:G3)</f>
        <v>666</v>
      </c>
      <c r="I3" s="3">
        <f>H3/H$13</f>
        <v>0.70105263157894737</v>
      </c>
      <c r="J3" t="s">
        <v>23</v>
      </c>
      <c r="M3" s="3"/>
    </row>
    <row r="4" spans="1:13">
      <c r="A4" t="s">
        <v>2</v>
      </c>
      <c r="B4">
        <v>92</v>
      </c>
      <c r="C4">
        <v>87</v>
      </c>
      <c r="D4">
        <v>325</v>
      </c>
      <c r="E4">
        <v>85</v>
      </c>
      <c r="F4">
        <v>95</v>
      </c>
      <c r="G4">
        <v>78</v>
      </c>
      <c r="H4">
        <f>SUM(B4:G4)</f>
        <v>762</v>
      </c>
      <c r="I4" s="3">
        <f t="shared" ref="I4:I11" si="0">H4/H$13</f>
        <v>0.80210526315789477</v>
      </c>
      <c r="J4" t="s">
        <v>24</v>
      </c>
      <c r="M4" s="3"/>
    </row>
    <row r="5" spans="1:13">
      <c r="A5" t="s">
        <v>3</v>
      </c>
      <c r="B5">
        <v>65</v>
      </c>
      <c r="C5">
        <v>72</v>
      </c>
      <c r="D5">
        <v>300</v>
      </c>
      <c r="E5">
        <v>91</v>
      </c>
      <c r="F5">
        <v>96</v>
      </c>
      <c r="G5">
        <v>95</v>
      </c>
      <c r="H5">
        <f>SUM(B5:G5)</f>
        <v>719</v>
      </c>
      <c r="I5" s="3">
        <f t="shared" si="0"/>
        <v>0.75684210526315787</v>
      </c>
      <c r="J5" t="s">
        <v>23</v>
      </c>
      <c r="M5" s="3"/>
    </row>
    <row r="6" spans="1:13">
      <c r="A6" t="s">
        <v>4</v>
      </c>
      <c r="B6">
        <v>84</v>
      </c>
      <c r="C6">
        <v>75</v>
      </c>
      <c r="D6">
        <v>350</v>
      </c>
      <c r="E6">
        <v>87</v>
      </c>
      <c r="F6">
        <v>94</v>
      </c>
      <c r="G6">
        <v>92</v>
      </c>
      <c r="H6">
        <f t="shared" ref="H6:H13" si="1">SUM(B6:G6)</f>
        <v>782</v>
      </c>
      <c r="I6" s="3">
        <f t="shared" si="0"/>
        <v>0.82315789473684209</v>
      </c>
      <c r="J6" t="s">
        <v>24</v>
      </c>
      <c r="M6" s="3"/>
    </row>
    <row r="7" spans="1:13">
      <c r="A7" t="s">
        <v>5</v>
      </c>
      <c r="B7">
        <v>92</v>
      </c>
      <c r="C7">
        <v>83</v>
      </c>
      <c r="D7">
        <v>425</v>
      </c>
      <c r="E7">
        <v>96</v>
      </c>
      <c r="F7">
        <v>89</v>
      </c>
      <c r="G7">
        <v>91</v>
      </c>
      <c r="H7">
        <f t="shared" si="1"/>
        <v>876</v>
      </c>
      <c r="I7" s="3">
        <f t="shared" si="0"/>
        <v>0.92210526315789476</v>
      </c>
      <c r="J7" t="s">
        <v>25</v>
      </c>
      <c r="M7" s="3"/>
    </row>
    <row r="8" spans="1:13">
      <c r="A8" t="s">
        <v>6</v>
      </c>
      <c r="B8">
        <v>67</v>
      </c>
      <c r="C8">
        <v>98</v>
      </c>
      <c r="D8">
        <v>425</v>
      </c>
      <c r="E8">
        <v>99</v>
      </c>
      <c r="F8">
        <v>92</v>
      </c>
      <c r="G8">
        <v>86</v>
      </c>
      <c r="H8">
        <f t="shared" si="1"/>
        <v>867</v>
      </c>
      <c r="I8" s="3">
        <f t="shared" si="0"/>
        <v>0.91263157894736846</v>
      </c>
      <c r="J8" t="s">
        <v>25</v>
      </c>
      <c r="M8" s="3"/>
    </row>
    <row r="9" spans="1:13">
      <c r="A9" t="s">
        <v>7</v>
      </c>
      <c r="B9">
        <v>98</v>
      </c>
      <c r="C9">
        <v>54</v>
      </c>
      <c r="D9">
        <v>425</v>
      </c>
      <c r="E9">
        <v>92</v>
      </c>
      <c r="F9">
        <v>87</v>
      </c>
      <c r="G9">
        <v>87</v>
      </c>
      <c r="H9">
        <f t="shared" si="1"/>
        <v>843</v>
      </c>
      <c r="I9" s="3">
        <f t="shared" si="0"/>
        <v>0.88736842105263158</v>
      </c>
      <c r="J9" t="s">
        <v>24</v>
      </c>
      <c r="M9" s="3"/>
    </row>
    <row r="10" spans="1:13">
      <c r="A10" t="s">
        <v>8</v>
      </c>
      <c r="B10">
        <v>99</v>
      </c>
      <c r="C10">
        <v>96</v>
      </c>
      <c r="D10">
        <v>450</v>
      </c>
      <c r="E10">
        <v>75</v>
      </c>
      <c r="F10">
        <v>85</v>
      </c>
      <c r="G10">
        <v>50</v>
      </c>
      <c r="H10">
        <f t="shared" si="1"/>
        <v>855</v>
      </c>
      <c r="I10" s="3">
        <f t="shared" si="0"/>
        <v>0.9</v>
      </c>
      <c r="J10" t="s">
        <v>25</v>
      </c>
      <c r="M10" s="3"/>
    </row>
    <row r="11" spans="1:13">
      <c r="A11" t="s">
        <v>9</v>
      </c>
      <c r="B11">
        <v>87</v>
      </c>
      <c r="C11">
        <v>91</v>
      </c>
      <c r="D11">
        <v>375</v>
      </c>
      <c r="E11" s="2">
        <v>81</v>
      </c>
      <c r="F11" s="2">
        <v>90</v>
      </c>
      <c r="G11" s="2">
        <v>93</v>
      </c>
      <c r="H11">
        <f t="shared" si="1"/>
        <v>817</v>
      </c>
      <c r="I11" s="3">
        <f t="shared" si="0"/>
        <v>0.86</v>
      </c>
      <c r="J11" t="s">
        <v>24</v>
      </c>
      <c r="M11" s="3"/>
    </row>
    <row r="12" spans="1:13">
      <c r="E12" s="1"/>
      <c r="I12" s="3"/>
      <c r="M12" s="3"/>
    </row>
    <row r="13" spans="1:13">
      <c r="A13" t="s">
        <v>22</v>
      </c>
      <c r="B13">
        <v>100</v>
      </c>
      <c r="C13">
        <v>100</v>
      </c>
      <c r="D13">
        <v>450</v>
      </c>
      <c r="E13" s="2">
        <v>100</v>
      </c>
      <c r="F13" s="2">
        <v>100</v>
      </c>
      <c r="G13" s="2">
        <v>100</v>
      </c>
      <c r="H13">
        <f t="shared" si="1"/>
        <v>950</v>
      </c>
      <c r="I13" s="3">
        <f>H13/H13</f>
        <v>1</v>
      </c>
      <c r="M13" s="3"/>
    </row>
    <row r="15" spans="1:13">
      <c r="A15" t="s">
        <v>20</v>
      </c>
      <c r="B15">
        <f>AVERAGE(B3:B11)</f>
        <v>84</v>
      </c>
      <c r="C15">
        <f>AVERAGE(C3:C11)</f>
        <v>78.666666666666671</v>
      </c>
      <c r="D15">
        <f t="shared" ref="D15:I15" si="2">AVERAGE(D3:D11)</f>
        <v>375</v>
      </c>
      <c r="E15">
        <f t="shared" si="2"/>
        <v>86.444444444444443</v>
      </c>
      <c r="F15">
        <f t="shared" si="2"/>
        <v>91.777777777777771</v>
      </c>
      <c r="G15">
        <f t="shared" si="2"/>
        <v>82.666666666666671</v>
      </c>
      <c r="H15">
        <f t="shared" si="2"/>
        <v>798.55555555555554</v>
      </c>
      <c r="I15" s="4">
        <f t="shared" si="2"/>
        <v>0.84058479532163743</v>
      </c>
    </row>
    <row r="16" spans="1:13">
      <c r="A16" t="s">
        <v>21</v>
      </c>
      <c r="B16">
        <f>STDEVA(B3:B11)</f>
        <v>13</v>
      </c>
      <c r="C16">
        <f t="shared" ref="C16:I16" si="3">STDEVA(C3:C11)</f>
        <v>16.926310879810757</v>
      </c>
      <c r="D16">
        <f t="shared" si="3"/>
        <v>58.630196997792872</v>
      </c>
      <c r="E16">
        <f t="shared" si="3"/>
        <v>9.1666666666666661</v>
      </c>
      <c r="F16">
        <f t="shared" si="3"/>
        <v>4.3525216190668647</v>
      </c>
      <c r="G16">
        <f t="shared" si="3"/>
        <v>14.352700094407323</v>
      </c>
      <c r="H16">
        <f t="shared" si="3"/>
        <v>72.192643515650389</v>
      </c>
      <c r="I16" s="4">
        <f t="shared" si="3"/>
        <v>7.5992256332263586E-2</v>
      </c>
    </row>
    <row r="19" spans="1:1">
      <c r="A19" s="6" t="s">
        <v>60</v>
      </c>
    </row>
  </sheetData>
  <sortState ref="A1:B18">
    <sortCondition ref="B1"/>
  </sortState>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dimension ref="A1:H15"/>
  <sheetViews>
    <sheetView workbookViewId="0">
      <selection activeCell="G3" sqref="G3"/>
    </sheetView>
  </sheetViews>
  <sheetFormatPr defaultColWidth="8.85546875" defaultRowHeight="15"/>
  <cols>
    <col min="1" max="1" width="13.85546875" bestFit="1" customWidth="1"/>
    <col min="2" max="2" width="8.85546875" bestFit="1" customWidth="1"/>
    <col min="4" max="4" width="10.28515625" bestFit="1" customWidth="1"/>
    <col min="5" max="5" width="10.7109375" bestFit="1" customWidth="1"/>
    <col min="6" max="6" width="10.42578125" bestFit="1" customWidth="1"/>
    <col min="7" max="7" width="11.42578125" bestFit="1" customWidth="1"/>
    <col min="8" max="8" width="12" bestFit="1" customWidth="1"/>
  </cols>
  <sheetData>
    <row r="1" spans="1:8">
      <c r="A1" t="s">
        <v>29</v>
      </c>
    </row>
    <row r="2" spans="1:8">
      <c r="A2" t="s">
        <v>0</v>
      </c>
      <c r="B2" t="s">
        <v>26</v>
      </c>
      <c r="C2" t="s">
        <v>27</v>
      </c>
      <c r="D2" t="s">
        <v>28</v>
      </c>
      <c r="E2" t="s">
        <v>30</v>
      </c>
      <c r="F2" t="s">
        <v>12</v>
      </c>
      <c r="G2" t="s">
        <v>18</v>
      </c>
      <c r="H2" t="s">
        <v>19</v>
      </c>
    </row>
    <row r="3" spans="1:8">
      <c r="A3" t="s">
        <v>1</v>
      </c>
      <c r="B3">
        <v>89</v>
      </c>
      <c r="C3">
        <v>88</v>
      </c>
      <c r="D3">
        <v>96</v>
      </c>
      <c r="E3">
        <v>98</v>
      </c>
      <c r="F3">
        <v>89</v>
      </c>
      <c r="G3" s="2">
        <f>(B3*0.2)+(C3*0.2)+(D3*0.2)+(E3*0.15)+(F3*0.25)</f>
        <v>91.550000000000011</v>
      </c>
      <c r="H3" t="s">
        <v>25</v>
      </c>
    </row>
    <row r="4" spans="1:8">
      <c r="A4" t="s">
        <v>2</v>
      </c>
      <c r="B4">
        <v>85</v>
      </c>
      <c r="C4">
        <v>85</v>
      </c>
      <c r="D4">
        <v>94</v>
      </c>
      <c r="E4">
        <v>76</v>
      </c>
      <c r="F4">
        <v>87</v>
      </c>
      <c r="G4" s="2">
        <f t="shared" ref="G4:G11" si="0">(B4*0.2)+(C4*0.2)+(D4*0.2)+(E4*0.15)+(F4*0.25)</f>
        <v>85.95</v>
      </c>
      <c r="H4" t="s">
        <v>24</v>
      </c>
    </row>
    <row r="5" spans="1:8">
      <c r="A5" t="s">
        <v>3</v>
      </c>
      <c r="B5">
        <v>92</v>
      </c>
      <c r="C5">
        <v>71</v>
      </c>
      <c r="D5">
        <v>82</v>
      </c>
      <c r="E5">
        <v>94</v>
      </c>
      <c r="F5">
        <v>92</v>
      </c>
      <c r="G5" s="2">
        <f t="shared" si="0"/>
        <v>86.1</v>
      </c>
      <c r="H5" t="s">
        <v>24</v>
      </c>
    </row>
    <row r="6" spans="1:8">
      <c r="A6" t="s">
        <v>4</v>
      </c>
      <c r="B6">
        <v>87</v>
      </c>
      <c r="C6">
        <v>91</v>
      </c>
      <c r="D6">
        <v>89</v>
      </c>
      <c r="E6">
        <v>81</v>
      </c>
      <c r="F6">
        <v>90</v>
      </c>
      <c r="G6" s="2">
        <f t="shared" si="0"/>
        <v>88.050000000000011</v>
      </c>
      <c r="H6" t="s">
        <v>24</v>
      </c>
    </row>
    <row r="7" spans="1:8">
      <c r="A7" t="s">
        <v>5</v>
      </c>
      <c r="B7">
        <v>69</v>
      </c>
      <c r="C7">
        <v>82</v>
      </c>
      <c r="D7">
        <v>75</v>
      </c>
      <c r="E7">
        <v>96</v>
      </c>
      <c r="F7">
        <v>83</v>
      </c>
      <c r="G7" s="2">
        <f t="shared" si="0"/>
        <v>80.349999999999994</v>
      </c>
      <c r="H7" t="s">
        <v>24</v>
      </c>
    </row>
    <row r="8" spans="1:8">
      <c r="A8" t="s">
        <v>6</v>
      </c>
      <c r="B8">
        <v>89</v>
      </c>
      <c r="C8">
        <v>93</v>
      </c>
      <c r="D8">
        <v>84</v>
      </c>
      <c r="E8">
        <v>83</v>
      </c>
      <c r="F8">
        <v>84</v>
      </c>
      <c r="G8" s="2">
        <f t="shared" si="0"/>
        <v>86.65</v>
      </c>
      <c r="H8" t="s">
        <v>24</v>
      </c>
    </row>
    <row r="9" spans="1:8">
      <c r="A9" t="s">
        <v>7</v>
      </c>
      <c r="B9">
        <v>86</v>
      </c>
      <c r="C9">
        <v>76</v>
      </c>
      <c r="D9">
        <v>54</v>
      </c>
      <c r="E9">
        <v>78</v>
      </c>
      <c r="F9">
        <v>72</v>
      </c>
      <c r="G9" s="2">
        <f t="shared" si="0"/>
        <v>72.900000000000006</v>
      </c>
      <c r="H9" t="s">
        <v>23</v>
      </c>
    </row>
    <row r="10" spans="1:8">
      <c r="A10" t="s">
        <v>8</v>
      </c>
      <c r="B10">
        <v>79</v>
      </c>
      <c r="C10">
        <v>64</v>
      </c>
      <c r="D10">
        <v>98</v>
      </c>
      <c r="E10">
        <v>99</v>
      </c>
      <c r="F10">
        <v>91</v>
      </c>
      <c r="G10" s="2">
        <f t="shared" si="0"/>
        <v>85.800000000000011</v>
      </c>
      <c r="H10" t="s">
        <v>24</v>
      </c>
    </row>
    <row r="11" spans="1:8">
      <c r="A11" t="s">
        <v>9</v>
      </c>
      <c r="B11">
        <v>96</v>
      </c>
      <c r="C11">
        <v>91</v>
      </c>
      <c r="D11">
        <v>94</v>
      </c>
      <c r="E11" s="2">
        <v>90</v>
      </c>
      <c r="F11" s="2">
        <v>96</v>
      </c>
      <c r="G11" s="2">
        <f t="shared" si="0"/>
        <v>93.7</v>
      </c>
      <c r="H11" t="s">
        <v>25</v>
      </c>
    </row>
    <row r="12" spans="1:8">
      <c r="E12" s="1"/>
      <c r="G12" s="3"/>
    </row>
    <row r="13" spans="1:8">
      <c r="A13" t="s">
        <v>22</v>
      </c>
      <c r="B13">
        <v>100</v>
      </c>
      <c r="C13">
        <v>100</v>
      </c>
      <c r="D13">
        <v>100</v>
      </c>
      <c r="E13" s="2">
        <v>100</v>
      </c>
      <c r="F13" s="2">
        <v>100</v>
      </c>
      <c r="G13" s="3">
        <v>1</v>
      </c>
      <c r="H13" t="s">
        <v>25</v>
      </c>
    </row>
    <row r="14" spans="1:8">
      <c r="A14" t="s">
        <v>20</v>
      </c>
      <c r="B14">
        <f>AVERAGE(B3:B11)</f>
        <v>85.777777777777771</v>
      </c>
      <c r="C14">
        <f t="shared" ref="C14:G14" si="1">AVERAGE(C3:C11)</f>
        <v>82.333333333333329</v>
      </c>
      <c r="D14">
        <f t="shared" si="1"/>
        <v>85.111111111111114</v>
      </c>
      <c r="E14">
        <f t="shared" si="1"/>
        <v>88.333333333333329</v>
      </c>
      <c r="F14">
        <f t="shared" si="1"/>
        <v>87.111111111111114</v>
      </c>
      <c r="G14">
        <f t="shared" si="1"/>
        <v>85.672222222222217</v>
      </c>
    </row>
    <row r="15" spans="1:8">
      <c r="A15" t="s">
        <v>31</v>
      </c>
      <c r="B15">
        <f>STDEV(B3:B11)</f>
        <v>7.8545811119654516</v>
      </c>
      <c r="C15">
        <f t="shared" ref="C15:G15" si="2">STDEV(C3:C11)</f>
        <v>10.04987562112089</v>
      </c>
      <c r="D15">
        <f t="shared" si="2"/>
        <v>13.869430814244373</v>
      </c>
      <c r="E15">
        <f t="shared" si="2"/>
        <v>8.9582364335844584</v>
      </c>
      <c r="F15">
        <f t="shared" si="2"/>
        <v>6.936217348894937</v>
      </c>
      <c r="G15">
        <f t="shared" si="2"/>
        <v>6.096469834621054</v>
      </c>
    </row>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dimension ref="A1:F15"/>
  <sheetViews>
    <sheetView workbookViewId="0">
      <selection activeCell="E3" sqref="E3"/>
    </sheetView>
  </sheetViews>
  <sheetFormatPr defaultColWidth="8.85546875" defaultRowHeight="15"/>
  <cols>
    <col min="1" max="1" width="13.85546875" bestFit="1" customWidth="1"/>
    <col min="2" max="5" width="12" bestFit="1" customWidth="1"/>
  </cols>
  <sheetData>
    <row r="1" spans="1:6">
      <c r="A1" t="s">
        <v>29</v>
      </c>
    </row>
    <row r="2" spans="1:6">
      <c r="A2" t="s">
        <v>0</v>
      </c>
      <c r="B2" t="s">
        <v>32</v>
      </c>
      <c r="C2" t="s">
        <v>30</v>
      </c>
      <c r="D2" t="s">
        <v>12</v>
      </c>
      <c r="E2" t="s">
        <v>18</v>
      </c>
      <c r="F2" t="s">
        <v>19</v>
      </c>
    </row>
    <row r="3" spans="1:6">
      <c r="A3" t="s">
        <v>1</v>
      </c>
      <c r="B3">
        <v>89</v>
      </c>
      <c r="C3">
        <v>97</v>
      </c>
      <c r="D3">
        <v>94</v>
      </c>
      <c r="E3" s="2">
        <f>(B3*0.25)+(C3*0.25)+(D3*0.5)</f>
        <v>93.5</v>
      </c>
      <c r="F3" t="s">
        <v>25</v>
      </c>
    </row>
    <row r="4" spans="1:6">
      <c r="A4" t="s">
        <v>2</v>
      </c>
      <c r="B4">
        <v>92</v>
      </c>
      <c r="C4">
        <v>96</v>
      </c>
      <c r="D4">
        <v>93</v>
      </c>
      <c r="E4" s="2">
        <f t="shared" ref="E4:E11" si="0">(B4*0.25)+(C4*0.25)+(D4*0.5)</f>
        <v>93.5</v>
      </c>
      <c r="F4" t="s">
        <v>25</v>
      </c>
    </row>
    <row r="5" spans="1:6">
      <c r="A5" t="s">
        <v>3</v>
      </c>
      <c r="B5">
        <v>91</v>
      </c>
      <c r="C5">
        <v>81</v>
      </c>
      <c r="D5">
        <v>87</v>
      </c>
      <c r="E5" s="2">
        <f t="shared" si="0"/>
        <v>86.5</v>
      </c>
      <c r="F5" t="s">
        <v>24</v>
      </c>
    </row>
    <row r="6" spans="1:6">
      <c r="A6" t="s">
        <v>4</v>
      </c>
      <c r="B6">
        <v>89</v>
      </c>
      <c r="C6">
        <v>83</v>
      </c>
      <c r="D6">
        <v>92</v>
      </c>
      <c r="E6" s="2">
        <f t="shared" si="0"/>
        <v>89</v>
      </c>
      <c r="F6" t="s">
        <v>24</v>
      </c>
    </row>
    <row r="7" spans="1:6">
      <c r="A7" t="s">
        <v>5</v>
      </c>
      <c r="B7">
        <v>93</v>
      </c>
      <c r="C7">
        <v>89</v>
      </c>
      <c r="D7">
        <v>98</v>
      </c>
      <c r="E7" s="2">
        <f t="shared" si="0"/>
        <v>94.5</v>
      </c>
      <c r="F7" t="s">
        <v>25</v>
      </c>
    </row>
    <row r="8" spans="1:6">
      <c r="A8" t="s">
        <v>6</v>
      </c>
      <c r="B8">
        <v>74</v>
      </c>
      <c r="C8">
        <v>92</v>
      </c>
      <c r="D8">
        <v>99</v>
      </c>
      <c r="E8" s="2">
        <f t="shared" si="0"/>
        <v>91</v>
      </c>
      <c r="F8" t="s">
        <v>25</v>
      </c>
    </row>
    <row r="9" spans="1:6">
      <c r="A9" t="s">
        <v>7</v>
      </c>
      <c r="B9">
        <v>99</v>
      </c>
      <c r="C9">
        <v>83</v>
      </c>
      <c r="D9">
        <v>100</v>
      </c>
      <c r="E9" s="2">
        <f t="shared" si="0"/>
        <v>95.5</v>
      </c>
      <c r="F9" t="s">
        <v>25</v>
      </c>
    </row>
    <row r="10" spans="1:6">
      <c r="A10" t="s">
        <v>8</v>
      </c>
      <c r="B10">
        <v>83</v>
      </c>
      <c r="C10">
        <v>95</v>
      </c>
      <c r="D10">
        <v>98</v>
      </c>
      <c r="E10" s="2">
        <f t="shared" si="0"/>
        <v>93.5</v>
      </c>
      <c r="F10" t="s">
        <v>25</v>
      </c>
    </row>
    <row r="11" spans="1:6">
      <c r="A11" t="s">
        <v>9</v>
      </c>
      <c r="B11">
        <v>79</v>
      </c>
      <c r="C11" s="2">
        <v>87</v>
      </c>
      <c r="D11" s="2">
        <v>97</v>
      </c>
      <c r="E11" s="2">
        <f t="shared" si="0"/>
        <v>90</v>
      </c>
      <c r="F11" t="s">
        <v>25</v>
      </c>
    </row>
    <row r="12" spans="1:6">
      <c r="C12" s="1"/>
      <c r="E12" s="3"/>
    </row>
    <row r="13" spans="1:6">
      <c r="A13" t="s">
        <v>22</v>
      </c>
      <c r="B13">
        <v>100</v>
      </c>
      <c r="C13" s="2">
        <v>100</v>
      </c>
      <c r="D13" s="2">
        <v>100</v>
      </c>
      <c r="E13" s="3">
        <v>1</v>
      </c>
      <c r="F13" t="s">
        <v>25</v>
      </c>
    </row>
    <row r="14" spans="1:6">
      <c r="A14" t="s">
        <v>20</v>
      </c>
      <c r="B14">
        <f>AVERAGE(B3:B11)</f>
        <v>87.666666666666671</v>
      </c>
      <c r="C14">
        <f t="shared" ref="C14:E14" si="1">AVERAGE(C3:C11)</f>
        <v>89.222222222222229</v>
      </c>
      <c r="D14">
        <f t="shared" si="1"/>
        <v>95.333333333333329</v>
      </c>
      <c r="E14">
        <f t="shared" si="1"/>
        <v>91.888888888888886</v>
      </c>
    </row>
    <row r="15" spans="1:6">
      <c r="A15" t="s">
        <v>31</v>
      </c>
      <c r="B15">
        <f>STDEV(B3:B11)</f>
        <v>7.6974021591703261</v>
      </c>
      <c r="C15">
        <f t="shared" ref="C15:E15" si="2">STDEV(C3:C11)</f>
        <v>6.0987248211773286</v>
      </c>
      <c r="D15">
        <f t="shared" si="2"/>
        <v>4.1833001326703778</v>
      </c>
      <c r="E15">
        <f t="shared" si="2"/>
        <v>2.9450995078453821</v>
      </c>
    </row>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dimension ref="A1:P15"/>
  <sheetViews>
    <sheetView workbookViewId="0">
      <selection activeCell="C3" sqref="C3"/>
    </sheetView>
  </sheetViews>
  <sheetFormatPr defaultColWidth="8.85546875" defaultRowHeight="15"/>
  <cols>
    <col min="1" max="1" width="17.42578125" bestFit="1" customWidth="1"/>
    <col min="2" max="3" width="17.42578125" customWidth="1"/>
    <col min="4" max="4" width="14.7109375" bestFit="1" customWidth="1"/>
    <col min="6" max="6" width="18.7109375" bestFit="1" customWidth="1"/>
    <col min="7" max="10" width="12.140625" bestFit="1" customWidth="1"/>
    <col min="11" max="11" width="12.140625" customWidth="1"/>
    <col min="12" max="15" width="12.140625" bestFit="1" customWidth="1"/>
    <col min="16" max="16" width="13.28515625" bestFit="1" customWidth="1"/>
    <col min="17" max="17" width="11.140625" bestFit="1" customWidth="1"/>
    <col min="18" max="18" width="11.42578125" bestFit="1" customWidth="1"/>
    <col min="19" max="19" width="12" bestFit="1" customWidth="1"/>
  </cols>
  <sheetData>
    <row r="1" spans="1:16">
      <c r="A1" t="s">
        <v>10</v>
      </c>
    </row>
    <row r="2" spans="1:16">
      <c r="A2" t="s">
        <v>0</v>
      </c>
      <c r="B2" t="s">
        <v>19</v>
      </c>
      <c r="C2" t="s">
        <v>18</v>
      </c>
      <c r="D2" t="s">
        <v>11</v>
      </c>
      <c r="E2" t="s">
        <v>12</v>
      </c>
      <c r="F2" t="s">
        <v>43</v>
      </c>
      <c r="G2" t="s">
        <v>33</v>
      </c>
      <c r="H2" t="s">
        <v>34</v>
      </c>
      <c r="I2" t="s">
        <v>35</v>
      </c>
      <c r="J2" t="s">
        <v>36</v>
      </c>
      <c r="K2" t="s">
        <v>37</v>
      </c>
      <c r="L2" t="s">
        <v>38</v>
      </c>
      <c r="M2" t="s">
        <v>39</v>
      </c>
      <c r="N2" t="s">
        <v>40</v>
      </c>
      <c r="O2" t="s">
        <v>41</v>
      </c>
      <c r="P2" t="s">
        <v>42</v>
      </c>
    </row>
    <row r="3" spans="1:16">
      <c r="A3" t="s">
        <v>1</v>
      </c>
      <c r="B3" t="s">
        <v>25</v>
      </c>
      <c r="C3" s="2">
        <f>(D3*0.2)+(E3*0.5)+(F3*0.3)</f>
        <v>95.533333333333331</v>
      </c>
      <c r="D3">
        <v>96</v>
      </c>
      <c r="E3">
        <v>95</v>
      </c>
      <c r="F3">
        <f>(SUM(G3:P3)-MIN(P3:DG43))/9</f>
        <v>96.111111111111114</v>
      </c>
      <c r="G3">
        <v>79</v>
      </c>
      <c r="H3">
        <v>100</v>
      </c>
      <c r="I3">
        <v>78</v>
      </c>
      <c r="J3">
        <v>98</v>
      </c>
      <c r="K3">
        <v>85</v>
      </c>
      <c r="L3">
        <v>94</v>
      </c>
      <c r="M3" s="2">
        <v>78</v>
      </c>
      <c r="N3" s="2">
        <v>84</v>
      </c>
      <c r="O3" s="2">
        <v>97</v>
      </c>
      <c r="P3" s="2">
        <v>96</v>
      </c>
    </row>
    <row r="4" spans="1:16">
      <c r="A4" t="s">
        <v>2</v>
      </c>
      <c r="B4" t="s">
        <v>24</v>
      </c>
      <c r="C4" s="2">
        <f t="shared" ref="C4:C11" si="0">(D4*0.2)+(E4*0.5)+(F4*0.3)</f>
        <v>89.4</v>
      </c>
      <c r="D4">
        <v>92</v>
      </c>
      <c r="E4">
        <v>90</v>
      </c>
      <c r="F4">
        <f t="shared" ref="F4:F11" si="1">(SUM(G4:P4)-MIN(P4:DG44))/9</f>
        <v>86.666666666666671</v>
      </c>
      <c r="G4">
        <v>83</v>
      </c>
      <c r="H4">
        <v>98</v>
      </c>
      <c r="I4">
        <v>100</v>
      </c>
      <c r="J4">
        <v>91</v>
      </c>
      <c r="K4">
        <v>94</v>
      </c>
      <c r="L4">
        <v>100</v>
      </c>
      <c r="M4" s="2">
        <v>98</v>
      </c>
      <c r="N4" s="2">
        <v>56</v>
      </c>
      <c r="O4" s="2">
        <v>0</v>
      </c>
      <c r="P4" s="2">
        <v>84</v>
      </c>
    </row>
    <row r="5" spans="1:16">
      <c r="A5" t="s">
        <v>3</v>
      </c>
      <c r="B5" t="s">
        <v>25</v>
      </c>
      <c r="C5" s="2">
        <f t="shared" si="0"/>
        <v>91.63333333333334</v>
      </c>
      <c r="D5">
        <v>81</v>
      </c>
      <c r="E5">
        <v>92</v>
      </c>
      <c r="F5">
        <f t="shared" si="1"/>
        <v>98.111111111111114</v>
      </c>
      <c r="G5">
        <v>94</v>
      </c>
      <c r="H5">
        <v>96</v>
      </c>
      <c r="I5">
        <v>92</v>
      </c>
      <c r="J5">
        <v>94</v>
      </c>
      <c r="K5">
        <v>100</v>
      </c>
      <c r="L5">
        <v>95</v>
      </c>
      <c r="M5" s="2">
        <v>97</v>
      </c>
      <c r="N5" s="2">
        <v>97</v>
      </c>
      <c r="O5" s="2">
        <v>86</v>
      </c>
      <c r="P5" s="2">
        <v>56</v>
      </c>
    </row>
    <row r="6" spans="1:16">
      <c r="A6" t="s">
        <v>4</v>
      </c>
      <c r="B6" t="s">
        <v>24</v>
      </c>
      <c r="C6" s="2">
        <f t="shared" si="0"/>
        <v>86</v>
      </c>
      <c r="D6">
        <v>85</v>
      </c>
      <c r="E6">
        <v>86</v>
      </c>
      <c r="F6">
        <f t="shared" si="1"/>
        <v>86.666666666666671</v>
      </c>
      <c r="G6">
        <v>76</v>
      </c>
      <c r="H6">
        <v>85</v>
      </c>
      <c r="I6">
        <v>67</v>
      </c>
      <c r="J6">
        <v>78</v>
      </c>
      <c r="K6">
        <v>87</v>
      </c>
      <c r="L6">
        <v>98</v>
      </c>
      <c r="M6" s="2">
        <v>65</v>
      </c>
      <c r="N6" s="2">
        <v>85</v>
      </c>
      <c r="O6" s="2">
        <v>79</v>
      </c>
      <c r="P6" s="2">
        <v>84</v>
      </c>
    </row>
    <row r="7" spans="1:16">
      <c r="A7" t="s">
        <v>5</v>
      </c>
      <c r="B7" t="s">
        <v>25</v>
      </c>
      <c r="C7" s="2">
        <f t="shared" si="0"/>
        <v>89.63333333333334</v>
      </c>
      <c r="D7">
        <v>97</v>
      </c>
      <c r="E7">
        <v>87</v>
      </c>
      <c r="F7">
        <f t="shared" si="1"/>
        <v>89.111111111111114</v>
      </c>
      <c r="G7">
        <v>89</v>
      </c>
      <c r="H7">
        <v>75</v>
      </c>
      <c r="I7">
        <v>92</v>
      </c>
      <c r="J7">
        <v>93</v>
      </c>
      <c r="K7">
        <v>95</v>
      </c>
      <c r="L7">
        <v>65</v>
      </c>
      <c r="M7" s="2">
        <v>87</v>
      </c>
      <c r="N7" s="2">
        <v>64</v>
      </c>
      <c r="O7" s="2">
        <v>75</v>
      </c>
      <c r="P7" s="2">
        <v>91</v>
      </c>
    </row>
    <row r="8" spans="1:16">
      <c r="A8" t="s">
        <v>6</v>
      </c>
      <c r="B8" t="s">
        <v>24</v>
      </c>
      <c r="C8" s="2">
        <f t="shared" si="0"/>
        <v>80.733333333333334</v>
      </c>
      <c r="D8">
        <v>83</v>
      </c>
      <c r="E8">
        <v>78</v>
      </c>
      <c r="F8">
        <f t="shared" si="1"/>
        <v>83.777777777777771</v>
      </c>
      <c r="G8">
        <v>94</v>
      </c>
      <c r="H8">
        <v>87</v>
      </c>
      <c r="I8">
        <v>85</v>
      </c>
      <c r="J8">
        <v>89</v>
      </c>
      <c r="K8">
        <v>94</v>
      </c>
      <c r="L8">
        <v>57</v>
      </c>
      <c r="M8" s="2">
        <v>97</v>
      </c>
      <c r="N8" s="2">
        <v>2</v>
      </c>
      <c r="O8" s="2">
        <v>83</v>
      </c>
      <c r="P8" s="2">
        <v>90</v>
      </c>
    </row>
    <row r="9" spans="1:16">
      <c r="A9" t="s">
        <v>7</v>
      </c>
      <c r="B9" t="s">
        <v>24</v>
      </c>
      <c r="C9" s="2">
        <f t="shared" si="0"/>
        <v>80.866666666666674</v>
      </c>
      <c r="D9">
        <v>91</v>
      </c>
      <c r="E9">
        <v>76</v>
      </c>
      <c r="F9">
        <f t="shared" si="1"/>
        <v>82.222222222222229</v>
      </c>
      <c r="G9">
        <v>87</v>
      </c>
      <c r="H9">
        <v>52</v>
      </c>
      <c r="I9">
        <v>100</v>
      </c>
      <c r="J9">
        <v>78</v>
      </c>
      <c r="K9">
        <v>76</v>
      </c>
      <c r="L9">
        <v>97</v>
      </c>
      <c r="M9" s="2">
        <v>68</v>
      </c>
      <c r="N9" s="2">
        <v>97</v>
      </c>
      <c r="O9" s="2">
        <v>85</v>
      </c>
      <c r="P9" s="2">
        <v>24</v>
      </c>
    </row>
    <row r="10" spans="1:16">
      <c r="A10" t="s">
        <v>8</v>
      </c>
      <c r="B10" t="s">
        <v>24</v>
      </c>
      <c r="C10" s="2">
        <f t="shared" si="0"/>
        <v>85.663720701970277</v>
      </c>
      <c r="D10">
        <v>76</v>
      </c>
      <c r="E10">
        <v>91</v>
      </c>
      <c r="F10">
        <f t="shared" si="1"/>
        <v>83.212402339900905</v>
      </c>
      <c r="G10">
        <v>82</v>
      </c>
      <c r="H10">
        <v>89</v>
      </c>
      <c r="I10">
        <v>0</v>
      </c>
      <c r="J10">
        <v>65</v>
      </c>
      <c r="K10">
        <v>92</v>
      </c>
      <c r="L10">
        <v>63</v>
      </c>
      <c r="M10" s="2">
        <v>97</v>
      </c>
      <c r="N10" s="2">
        <v>98</v>
      </c>
      <c r="O10" s="2">
        <v>91</v>
      </c>
      <c r="P10" s="2">
        <v>96</v>
      </c>
    </row>
    <row r="11" spans="1:16">
      <c r="A11" t="s">
        <v>9</v>
      </c>
      <c r="B11" t="s">
        <v>25</v>
      </c>
      <c r="C11" s="2">
        <f t="shared" si="0"/>
        <v>94.797054035303603</v>
      </c>
      <c r="D11">
        <v>97</v>
      </c>
      <c r="E11">
        <v>93</v>
      </c>
      <c r="F11">
        <f t="shared" si="1"/>
        <v>96.323513451012019</v>
      </c>
      <c r="G11">
        <v>91</v>
      </c>
      <c r="H11" s="2">
        <v>93</v>
      </c>
      <c r="I11" s="2">
        <v>96</v>
      </c>
      <c r="J11" s="2">
        <v>91</v>
      </c>
      <c r="K11" s="2">
        <v>87</v>
      </c>
      <c r="L11" s="2">
        <v>83</v>
      </c>
      <c r="M11" s="2">
        <v>84</v>
      </c>
      <c r="N11" s="2">
        <v>92</v>
      </c>
      <c r="O11" s="2">
        <v>81</v>
      </c>
      <c r="P11" s="2">
        <v>93</v>
      </c>
    </row>
    <row r="12" spans="1:16">
      <c r="H12" s="1"/>
      <c r="M12" s="3"/>
    </row>
    <row r="13" spans="1:16">
      <c r="A13" t="s">
        <v>22</v>
      </c>
      <c r="B13" t="s">
        <v>25</v>
      </c>
      <c r="C13">
        <v>100</v>
      </c>
      <c r="D13">
        <v>100</v>
      </c>
      <c r="E13">
        <v>100</v>
      </c>
      <c r="F13">
        <v>100</v>
      </c>
      <c r="G13">
        <v>100</v>
      </c>
      <c r="H13" s="2">
        <v>100</v>
      </c>
      <c r="I13" s="2">
        <v>100</v>
      </c>
      <c r="J13" s="2">
        <v>100</v>
      </c>
      <c r="K13" s="2">
        <v>100</v>
      </c>
      <c r="L13" s="2">
        <v>100</v>
      </c>
      <c r="M13" s="2">
        <v>100</v>
      </c>
      <c r="N13" s="2">
        <v>100</v>
      </c>
      <c r="O13" s="2">
        <v>100</v>
      </c>
      <c r="P13" s="2">
        <v>100</v>
      </c>
    </row>
    <row r="14" spans="1:16">
      <c r="A14" t="s">
        <v>20</v>
      </c>
      <c r="C14">
        <f>AVERAGE(C3:C11)</f>
        <v>88.251197193030436</v>
      </c>
      <c r="D14">
        <f t="shared" ref="D14:P14" si="2">AVERAGE(D3:D11)</f>
        <v>88.666666666666671</v>
      </c>
      <c r="E14">
        <f t="shared" si="2"/>
        <v>87.555555555555557</v>
      </c>
      <c r="F14">
        <f t="shared" si="2"/>
        <v>89.133620273064409</v>
      </c>
      <c r="G14">
        <f t="shared" si="2"/>
        <v>86.111111111111114</v>
      </c>
      <c r="H14">
        <f t="shared" si="2"/>
        <v>86.111111111111114</v>
      </c>
      <c r="I14">
        <f t="shared" si="2"/>
        <v>78.888888888888886</v>
      </c>
      <c r="J14">
        <f t="shared" si="2"/>
        <v>86.333333333333329</v>
      </c>
      <c r="K14">
        <f t="shared" si="2"/>
        <v>90</v>
      </c>
      <c r="L14">
        <f t="shared" si="2"/>
        <v>83.555555555555557</v>
      </c>
      <c r="M14">
        <f t="shared" si="2"/>
        <v>85.666666666666671</v>
      </c>
      <c r="N14">
        <f t="shared" si="2"/>
        <v>75</v>
      </c>
      <c r="O14">
        <f t="shared" si="2"/>
        <v>75.222222222222229</v>
      </c>
      <c r="P14">
        <f t="shared" si="2"/>
        <v>79.333333333333329</v>
      </c>
    </row>
    <row r="15" spans="1:16">
      <c r="A15" t="s">
        <v>31</v>
      </c>
      <c r="C15">
        <f>STDEV(C3:C11)</f>
        <v>5.400915815142497</v>
      </c>
      <c r="D15">
        <f t="shared" ref="D15:P15" si="3">STDEV(D3:D11)</f>
        <v>7.6974021591703261</v>
      </c>
      <c r="E15">
        <f t="shared" si="3"/>
        <v>6.6164777470930689</v>
      </c>
      <c r="F15">
        <f t="shared" si="3"/>
        <v>6.1711101571219098</v>
      </c>
      <c r="G15">
        <f t="shared" si="3"/>
        <v>6.4893074446439289</v>
      </c>
      <c r="H15">
        <f t="shared" si="3"/>
        <v>14.903392604072112</v>
      </c>
      <c r="I15">
        <f t="shared" si="3"/>
        <v>31.485887491241396</v>
      </c>
      <c r="J15">
        <f t="shared" si="3"/>
        <v>10.51189802081432</v>
      </c>
      <c r="K15">
        <f t="shared" si="3"/>
        <v>7.0710678118654755</v>
      </c>
      <c r="L15">
        <f t="shared" si="3"/>
        <v>17.219981933143174</v>
      </c>
      <c r="M15">
        <f t="shared" si="3"/>
        <v>12.942179105544785</v>
      </c>
      <c r="N15">
        <f t="shared" si="3"/>
        <v>31.180923655337729</v>
      </c>
      <c r="O15">
        <f t="shared" si="3"/>
        <v>28.942951550324725</v>
      </c>
      <c r="P15">
        <f t="shared" si="3"/>
        <v>24.088378940891808</v>
      </c>
    </row>
  </sheetData>
  <pageMargins left="0.7" right="0.7" top="0.75" bottom="0.75" header="0.3" footer="0.3"/>
  <pageSetup paperSize="0" orientation="portrait" horizontalDpi="0" verticalDpi="0" copies="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dimension ref="A1:P15"/>
  <sheetViews>
    <sheetView topLeftCell="A2" workbookViewId="0">
      <selection activeCell="C3" sqref="C3"/>
    </sheetView>
  </sheetViews>
  <sheetFormatPr defaultColWidth="8.85546875" defaultRowHeight="15"/>
  <cols>
    <col min="1" max="1" width="17.42578125" bestFit="1" customWidth="1"/>
    <col min="2" max="3" width="12" bestFit="1" customWidth="1"/>
    <col min="4" max="4" width="14.7109375" bestFit="1" customWidth="1"/>
    <col min="5" max="5" width="12" bestFit="1" customWidth="1"/>
    <col min="6" max="6" width="18.7109375" bestFit="1" customWidth="1"/>
    <col min="7" max="15" width="12.140625" bestFit="1" customWidth="1"/>
    <col min="16" max="16" width="13.28515625" bestFit="1" customWidth="1"/>
  </cols>
  <sheetData>
    <row r="1" spans="1:16">
      <c r="A1" t="s">
        <v>10</v>
      </c>
    </row>
    <row r="2" spans="1:16">
      <c r="A2" t="s">
        <v>0</v>
      </c>
      <c r="B2" t="s">
        <v>19</v>
      </c>
      <c r="C2" t="s">
        <v>18</v>
      </c>
      <c r="D2" t="s">
        <v>11</v>
      </c>
      <c r="E2" t="s">
        <v>12</v>
      </c>
      <c r="F2" t="s">
        <v>43</v>
      </c>
      <c r="G2" t="s">
        <v>33</v>
      </c>
      <c r="H2" t="s">
        <v>34</v>
      </c>
      <c r="I2" t="s">
        <v>35</v>
      </c>
      <c r="J2" t="s">
        <v>36</v>
      </c>
      <c r="K2" t="s">
        <v>37</v>
      </c>
      <c r="L2" t="s">
        <v>38</v>
      </c>
      <c r="M2" t="s">
        <v>39</v>
      </c>
      <c r="N2" t="s">
        <v>40</v>
      </c>
      <c r="O2" t="s">
        <v>41</v>
      </c>
      <c r="P2" t="s">
        <v>42</v>
      </c>
    </row>
    <row r="3" spans="1:16">
      <c r="A3" t="s">
        <v>1</v>
      </c>
      <c r="B3" t="s">
        <v>25</v>
      </c>
      <c r="C3" s="2">
        <f>(D3*0.2)+(E3*0.5)+(F3*0.3)</f>
        <v>94.1875</v>
      </c>
      <c r="D3">
        <v>96</v>
      </c>
      <c r="E3">
        <v>95</v>
      </c>
      <c r="F3">
        <f>(SUM(G3:P3)-SMALL(G3:P3,1)-SMALL(G3:P3,2))/8</f>
        <v>91.625</v>
      </c>
      <c r="G3">
        <v>79</v>
      </c>
      <c r="H3">
        <v>100</v>
      </c>
      <c r="I3">
        <v>78</v>
      </c>
      <c r="J3">
        <v>98</v>
      </c>
      <c r="K3">
        <v>85</v>
      </c>
      <c r="L3">
        <v>94</v>
      </c>
      <c r="M3" s="2">
        <v>78</v>
      </c>
      <c r="N3" s="2">
        <v>84</v>
      </c>
      <c r="O3" s="2">
        <v>97</v>
      </c>
      <c r="P3" s="2">
        <v>96</v>
      </c>
    </row>
    <row r="4" spans="1:16">
      <c r="A4" t="s">
        <v>2</v>
      </c>
      <c r="B4" t="s">
        <v>24</v>
      </c>
      <c r="C4" s="2">
        <f t="shared" ref="C4:C11" si="0">(D4*0.2)+(E4*0.5)+(F4*0.3)</f>
        <v>91.45</v>
      </c>
      <c r="D4">
        <v>92</v>
      </c>
      <c r="E4">
        <v>90</v>
      </c>
      <c r="F4">
        <f t="shared" ref="F4:F11" si="1">(SUM(G4:P4)-SMALL(G4:P4,1)-SMALL(G4:P4,2))/8</f>
        <v>93.5</v>
      </c>
      <c r="G4">
        <v>83</v>
      </c>
      <c r="H4">
        <v>98</v>
      </c>
      <c r="I4">
        <v>100</v>
      </c>
      <c r="J4">
        <v>91</v>
      </c>
      <c r="K4">
        <v>94</v>
      </c>
      <c r="L4">
        <v>100</v>
      </c>
      <c r="M4" s="2">
        <v>98</v>
      </c>
      <c r="N4" s="2">
        <v>56</v>
      </c>
      <c r="O4" s="2">
        <v>0</v>
      </c>
      <c r="P4" s="2">
        <v>84</v>
      </c>
    </row>
    <row r="5" spans="1:16">
      <c r="A5" t="s">
        <v>3</v>
      </c>
      <c r="B5" t="s">
        <v>25</v>
      </c>
      <c r="C5" s="2">
        <f t="shared" si="0"/>
        <v>90.887500000000003</v>
      </c>
      <c r="D5">
        <v>81</v>
      </c>
      <c r="E5">
        <v>92</v>
      </c>
      <c r="F5">
        <f t="shared" si="1"/>
        <v>95.625</v>
      </c>
      <c r="G5">
        <v>94</v>
      </c>
      <c r="H5">
        <v>96</v>
      </c>
      <c r="I5">
        <v>92</v>
      </c>
      <c r="J5">
        <v>94</v>
      </c>
      <c r="K5">
        <v>100</v>
      </c>
      <c r="L5">
        <v>95</v>
      </c>
      <c r="M5" s="2">
        <v>97</v>
      </c>
      <c r="N5" s="2">
        <v>97</v>
      </c>
      <c r="O5" s="2">
        <v>86</v>
      </c>
      <c r="P5" s="2">
        <v>56</v>
      </c>
    </row>
    <row r="6" spans="1:16">
      <c r="A6" t="s">
        <v>4</v>
      </c>
      <c r="B6" t="s">
        <v>24</v>
      </c>
      <c r="C6" s="2">
        <f t="shared" si="0"/>
        <v>85.2</v>
      </c>
      <c r="D6">
        <v>85</v>
      </c>
      <c r="E6">
        <v>86</v>
      </c>
      <c r="F6">
        <f t="shared" si="1"/>
        <v>84</v>
      </c>
      <c r="G6">
        <v>76</v>
      </c>
      <c r="H6">
        <v>85</v>
      </c>
      <c r="I6">
        <v>67</v>
      </c>
      <c r="J6">
        <v>78</v>
      </c>
      <c r="K6">
        <v>87</v>
      </c>
      <c r="L6">
        <v>98</v>
      </c>
      <c r="M6" s="2">
        <v>65</v>
      </c>
      <c r="N6" s="2">
        <v>85</v>
      </c>
      <c r="O6" s="2">
        <v>79</v>
      </c>
      <c r="P6" s="2">
        <v>84</v>
      </c>
    </row>
    <row r="7" spans="1:16">
      <c r="A7" t="s">
        <v>5</v>
      </c>
      <c r="B7" t="s">
        <v>25</v>
      </c>
      <c r="C7" s="2">
        <f t="shared" si="0"/>
        <v>89.037500000000009</v>
      </c>
      <c r="D7">
        <v>97</v>
      </c>
      <c r="E7">
        <v>87</v>
      </c>
      <c r="F7">
        <f t="shared" si="1"/>
        <v>87.125</v>
      </c>
      <c r="G7">
        <v>89</v>
      </c>
      <c r="H7">
        <v>75</v>
      </c>
      <c r="I7">
        <v>92</v>
      </c>
      <c r="J7">
        <v>93</v>
      </c>
      <c r="K7">
        <v>95</v>
      </c>
      <c r="L7">
        <v>65</v>
      </c>
      <c r="M7" s="2">
        <v>87</v>
      </c>
      <c r="N7" s="2">
        <v>64</v>
      </c>
      <c r="O7" s="2">
        <v>75</v>
      </c>
      <c r="P7" s="2">
        <v>91</v>
      </c>
    </row>
    <row r="8" spans="1:16">
      <c r="A8" t="s">
        <v>6</v>
      </c>
      <c r="B8" t="s">
        <v>24</v>
      </c>
      <c r="C8" s="2">
        <f t="shared" si="0"/>
        <v>82.5625</v>
      </c>
      <c r="D8">
        <v>83</v>
      </c>
      <c r="E8">
        <v>78</v>
      </c>
      <c r="F8">
        <f t="shared" si="1"/>
        <v>89.875</v>
      </c>
      <c r="G8">
        <v>94</v>
      </c>
      <c r="H8">
        <v>87</v>
      </c>
      <c r="I8">
        <v>85</v>
      </c>
      <c r="J8">
        <v>89</v>
      </c>
      <c r="K8">
        <v>94</v>
      </c>
      <c r="L8">
        <v>57</v>
      </c>
      <c r="M8" s="2">
        <v>97</v>
      </c>
      <c r="N8" s="2">
        <v>2</v>
      </c>
      <c r="O8" s="2">
        <v>83</v>
      </c>
      <c r="P8" s="2">
        <v>90</v>
      </c>
    </row>
    <row r="9" spans="1:16">
      <c r="A9" t="s">
        <v>7</v>
      </c>
      <c r="B9" t="s">
        <v>24</v>
      </c>
      <c r="C9" s="2">
        <f t="shared" si="0"/>
        <v>82</v>
      </c>
      <c r="D9">
        <v>91</v>
      </c>
      <c r="E9">
        <v>76</v>
      </c>
      <c r="F9">
        <f t="shared" si="1"/>
        <v>86</v>
      </c>
      <c r="G9">
        <v>87</v>
      </c>
      <c r="H9">
        <v>52</v>
      </c>
      <c r="I9">
        <v>100</v>
      </c>
      <c r="J9">
        <v>78</v>
      </c>
      <c r="K9">
        <v>76</v>
      </c>
      <c r="L9">
        <v>97</v>
      </c>
      <c r="M9" s="2">
        <v>68</v>
      </c>
      <c r="N9" s="2">
        <v>97</v>
      </c>
      <c r="O9" s="2">
        <v>85</v>
      </c>
      <c r="P9" s="2">
        <v>24</v>
      </c>
    </row>
    <row r="10" spans="1:16">
      <c r="A10" t="s">
        <v>8</v>
      </c>
      <c r="B10" t="s">
        <v>24</v>
      </c>
      <c r="C10" s="2">
        <f t="shared" si="0"/>
        <v>87.325000000000003</v>
      </c>
      <c r="D10">
        <v>76</v>
      </c>
      <c r="E10">
        <v>91</v>
      </c>
      <c r="F10">
        <f t="shared" si="1"/>
        <v>88.75</v>
      </c>
      <c r="G10">
        <v>82</v>
      </c>
      <c r="H10">
        <v>89</v>
      </c>
      <c r="I10">
        <v>0</v>
      </c>
      <c r="J10">
        <v>65</v>
      </c>
      <c r="K10">
        <v>92</v>
      </c>
      <c r="L10">
        <v>63</v>
      </c>
      <c r="M10" s="2">
        <v>97</v>
      </c>
      <c r="N10" s="2">
        <v>98</v>
      </c>
      <c r="O10" s="2">
        <v>91</v>
      </c>
      <c r="P10" s="2">
        <v>96</v>
      </c>
    </row>
    <row r="11" spans="1:16">
      <c r="A11" t="s">
        <v>9</v>
      </c>
      <c r="B11" t="s">
        <v>25</v>
      </c>
      <c r="C11" s="2">
        <f t="shared" si="0"/>
        <v>93.162500000000009</v>
      </c>
      <c r="D11">
        <v>97</v>
      </c>
      <c r="E11">
        <v>93</v>
      </c>
      <c r="F11">
        <f t="shared" si="1"/>
        <v>90.875</v>
      </c>
      <c r="G11">
        <v>91</v>
      </c>
      <c r="H11" s="2">
        <v>93</v>
      </c>
      <c r="I11" s="2">
        <v>96</v>
      </c>
      <c r="J11" s="2">
        <v>91</v>
      </c>
      <c r="K11" s="2">
        <v>87</v>
      </c>
      <c r="L11" s="2">
        <v>83</v>
      </c>
      <c r="M11" s="2">
        <v>84</v>
      </c>
      <c r="N11" s="2">
        <v>92</v>
      </c>
      <c r="O11" s="2">
        <v>81</v>
      </c>
      <c r="P11" s="2">
        <v>93</v>
      </c>
    </row>
    <row r="12" spans="1:16">
      <c r="H12" s="1"/>
      <c r="M12" s="3"/>
    </row>
    <row r="13" spans="1:16">
      <c r="A13" t="s">
        <v>22</v>
      </c>
      <c r="B13" t="s">
        <v>25</v>
      </c>
      <c r="C13">
        <v>100</v>
      </c>
      <c r="D13">
        <v>100</v>
      </c>
      <c r="E13">
        <v>100</v>
      </c>
      <c r="F13">
        <v>100</v>
      </c>
      <c r="G13">
        <v>100</v>
      </c>
      <c r="H13" s="2">
        <v>100</v>
      </c>
      <c r="I13" s="2">
        <v>100</v>
      </c>
      <c r="J13" s="2">
        <v>100</v>
      </c>
      <c r="K13" s="2">
        <v>100</v>
      </c>
      <c r="L13" s="2">
        <v>100</v>
      </c>
      <c r="M13" s="2">
        <v>100</v>
      </c>
      <c r="N13" s="2">
        <v>100</v>
      </c>
      <c r="O13" s="2">
        <v>100</v>
      </c>
      <c r="P13" s="2">
        <v>100</v>
      </c>
    </row>
    <row r="14" spans="1:16">
      <c r="A14" t="s">
        <v>20</v>
      </c>
      <c r="C14">
        <f>AVERAGE(C3:C11)</f>
        <v>88.423611111111128</v>
      </c>
      <c r="D14">
        <f t="shared" ref="D14:P14" si="2">AVERAGE(D3:D11)</f>
        <v>88.666666666666671</v>
      </c>
      <c r="E14">
        <f t="shared" si="2"/>
        <v>87.555555555555557</v>
      </c>
      <c r="F14">
        <f>AVERAGE(F3:F11)</f>
        <v>89.708333333333329</v>
      </c>
      <c r="G14">
        <f t="shared" si="2"/>
        <v>86.111111111111114</v>
      </c>
      <c r="H14">
        <f t="shared" si="2"/>
        <v>86.111111111111114</v>
      </c>
      <c r="I14">
        <f t="shared" si="2"/>
        <v>78.888888888888886</v>
      </c>
      <c r="J14">
        <f t="shared" si="2"/>
        <v>86.333333333333329</v>
      </c>
      <c r="K14">
        <f t="shared" si="2"/>
        <v>90</v>
      </c>
      <c r="L14">
        <f t="shared" si="2"/>
        <v>83.555555555555557</v>
      </c>
      <c r="M14">
        <f t="shared" si="2"/>
        <v>85.666666666666671</v>
      </c>
      <c r="N14">
        <f t="shared" si="2"/>
        <v>75</v>
      </c>
      <c r="O14">
        <f t="shared" si="2"/>
        <v>75.222222222222229</v>
      </c>
      <c r="P14">
        <f t="shared" si="2"/>
        <v>79.333333333333329</v>
      </c>
    </row>
    <row r="15" spans="1:16">
      <c r="A15" t="s">
        <v>31</v>
      </c>
      <c r="C15">
        <f>STDEV(C3:C11)</f>
        <v>4.4511254038850812</v>
      </c>
      <c r="D15">
        <f t="shared" ref="D15:P15" si="3">STDEV(D3:D11)</f>
        <v>7.6974021591703261</v>
      </c>
      <c r="E15">
        <f t="shared" si="3"/>
        <v>6.6164777470930689</v>
      </c>
      <c r="F15">
        <f>STDEV(F3:F11)</f>
        <v>3.6806079660838646</v>
      </c>
      <c r="G15">
        <f t="shared" si="3"/>
        <v>6.4893074446439289</v>
      </c>
      <c r="H15">
        <f t="shared" si="3"/>
        <v>14.903392604072112</v>
      </c>
      <c r="I15">
        <f t="shared" si="3"/>
        <v>31.485887491241396</v>
      </c>
      <c r="J15">
        <f t="shared" si="3"/>
        <v>10.51189802081432</v>
      </c>
      <c r="K15">
        <f t="shared" si="3"/>
        <v>7.0710678118654755</v>
      </c>
      <c r="L15">
        <f t="shared" si="3"/>
        <v>17.219981933143174</v>
      </c>
      <c r="M15">
        <f t="shared" si="3"/>
        <v>12.942179105544785</v>
      </c>
      <c r="N15">
        <f t="shared" si="3"/>
        <v>31.180923655337729</v>
      </c>
      <c r="O15">
        <f t="shared" si="3"/>
        <v>28.942951550324725</v>
      </c>
      <c r="P15">
        <f t="shared" si="3"/>
        <v>24.088378940891808</v>
      </c>
    </row>
  </sheetData>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dimension ref="A1:H15"/>
  <sheetViews>
    <sheetView workbookViewId="0">
      <selection activeCell="G3" sqref="G3"/>
    </sheetView>
  </sheetViews>
  <sheetFormatPr defaultColWidth="8.85546875" defaultRowHeight="15"/>
  <cols>
    <col min="1" max="1" width="13.85546875" bestFit="1" customWidth="1"/>
    <col min="2" max="3" width="12" bestFit="1" customWidth="1"/>
    <col min="4" max="5" width="12" customWidth="1"/>
    <col min="6" max="8" width="12" bestFit="1" customWidth="1"/>
  </cols>
  <sheetData>
    <row r="1" spans="1:8">
      <c r="A1" t="s">
        <v>29</v>
      </c>
    </row>
    <row r="2" spans="1:8">
      <c r="A2" t="s">
        <v>0</v>
      </c>
      <c r="B2" t="s">
        <v>44</v>
      </c>
      <c r="C2" t="s">
        <v>45</v>
      </c>
      <c r="D2" t="s">
        <v>46</v>
      </c>
      <c r="E2" t="s">
        <v>50</v>
      </c>
      <c r="F2" t="s">
        <v>12</v>
      </c>
      <c r="G2" t="s">
        <v>18</v>
      </c>
      <c r="H2" t="s">
        <v>19</v>
      </c>
    </row>
    <row r="3" spans="1:8">
      <c r="A3" t="s">
        <v>1</v>
      </c>
      <c r="B3">
        <v>89</v>
      </c>
      <c r="C3">
        <v>97</v>
      </c>
      <c r="D3">
        <v>99</v>
      </c>
      <c r="E3">
        <f>AVERAGE(B3:D3)</f>
        <v>95</v>
      </c>
      <c r="F3">
        <v>94</v>
      </c>
      <c r="G3" s="2">
        <f>IF(E3&gt;F3,E3*0.66+F3*0.33,E3*0.5+F3*0.5)</f>
        <v>93.72</v>
      </c>
      <c r="H3" t="s">
        <v>25</v>
      </c>
    </row>
    <row r="4" spans="1:8">
      <c r="A4" t="s">
        <v>2</v>
      </c>
      <c r="B4">
        <v>92</v>
      </c>
      <c r="C4">
        <v>96</v>
      </c>
      <c r="D4">
        <v>94</v>
      </c>
      <c r="E4">
        <f t="shared" ref="E4:E11" si="0">AVERAGE(B4:D4)</f>
        <v>94</v>
      </c>
      <c r="F4">
        <v>93</v>
      </c>
      <c r="G4" s="2">
        <f t="shared" ref="G4:G11" si="1">IF(E4&gt;F4,E4*0.66+F4*0.33,E4*0.5+F4*0.5)</f>
        <v>92.73</v>
      </c>
      <c r="H4" t="s">
        <v>25</v>
      </c>
    </row>
    <row r="5" spans="1:8">
      <c r="A5" t="s">
        <v>3</v>
      </c>
      <c r="B5">
        <v>91</v>
      </c>
      <c r="C5">
        <v>81</v>
      </c>
      <c r="D5">
        <v>86</v>
      </c>
      <c r="E5">
        <f t="shared" si="0"/>
        <v>86</v>
      </c>
      <c r="F5">
        <v>87</v>
      </c>
      <c r="G5" s="2">
        <f t="shared" si="1"/>
        <v>86.5</v>
      </c>
      <c r="H5" t="s">
        <v>24</v>
      </c>
    </row>
    <row r="6" spans="1:8">
      <c r="A6" t="s">
        <v>4</v>
      </c>
      <c r="B6">
        <v>89</v>
      </c>
      <c r="C6">
        <v>83</v>
      </c>
      <c r="D6">
        <v>87</v>
      </c>
      <c r="E6">
        <f t="shared" si="0"/>
        <v>86.333333333333329</v>
      </c>
      <c r="F6">
        <v>92</v>
      </c>
      <c r="G6" s="2">
        <f t="shared" si="1"/>
        <v>89.166666666666657</v>
      </c>
      <c r="H6" t="s">
        <v>24</v>
      </c>
    </row>
    <row r="7" spans="1:8">
      <c r="A7" t="s">
        <v>5</v>
      </c>
      <c r="B7">
        <v>93</v>
      </c>
      <c r="C7">
        <v>89</v>
      </c>
      <c r="D7">
        <v>90</v>
      </c>
      <c r="E7">
        <f t="shared" si="0"/>
        <v>90.666666666666671</v>
      </c>
      <c r="F7">
        <v>98</v>
      </c>
      <c r="G7" s="2">
        <f t="shared" si="1"/>
        <v>94.333333333333343</v>
      </c>
      <c r="H7" t="s">
        <v>25</v>
      </c>
    </row>
    <row r="8" spans="1:8">
      <c r="A8" t="s">
        <v>6</v>
      </c>
      <c r="B8">
        <v>74</v>
      </c>
      <c r="C8">
        <v>92</v>
      </c>
      <c r="D8">
        <v>78</v>
      </c>
      <c r="E8">
        <f t="shared" si="0"/>
        <v>81.333333333333329</v>
      </c>
      <c r="F8">
        <v>99</v>
      </c>
      <c r="G8" s="2">
        <f t="shared" si="1"/>
        <v>90.166666666666657</v>
      </c>
      <c r="H8" t="s">
        <v>25</v>
      </c>
    </row>
    <row r="9" spans="1:8">
      <c r="A9" t="s">
        <v>7</v>
      </c>
      <c r="B9">
        <v>99</v>
      </c>
      <c r="C9">
        <v>83</v>
      </c>
      <c r="D9">
        <v>86</v>
      </c>
      <c r="E9">
        <f t="shared" si="0"/>
        <v>89.333333333333329</v>
      </c>
      <c r="F9">
        <v>100</v>
      </c>
      <c r="G9" s="2">
        <f t="shared" si="1"/>
        <v>94.666666666666657</v>
      </c>
      <c r="H9" t="s">
        <v>25</v>
      </c>
    </row>
    <row r="10" spans="1:8">
      <c r="A10" t="s">
        <v>8</v>
      </c>
      <c r="B10">
        <v>83</v>
      </c>
      <c r="C10">
        <v>95</v>
      </c>
      <c r="D10">
        <v>82</v>
      </c>
      <c r="E10">
        <f t="shared" si="0"/>
        <v>86.666666666666671</v>
      </c>
      <c r="F10">
        <v>68</v>
      </c>
      <c r="G10" s="2">
        <f t="shared" si="1"/>
        <v>79.64</v>
      </c>
      <c r="H10" t="s">
        <v>24</v>
      </c>
    </row>
    <row r="11" spans="1:8">
      <c r="A11" t="s">
        <v>9</v>
      </c>
      <c r="B11">
        <v>79</v>
      </c>
      <c r="C11" s="2">
        <v>87</v>
      </c>
      <c r="D11" s="2">
        <v>94</v>
      </c>
      <c r="E11">
        <f t="shared" si="0"/>
        <v>86.666666666666671</v>
      </c>
      <c r="F11" s="2">
        <v>97</v>
      </c>
      <c r="G11" s="2">
        <f t="shared" si="1"/>
        <v>91.833333333333343</v>
      </c>
      <c r="H11" t="s">
        <v>25</v>
      </c>
    </row>
    <row r="12" spans="1:8">
      <c r="C12" s="1"/>
      <c r="D12" s="1"/>
      <c r="E12" s="1"/>
      <c r="G12" s="3"/>
    </row>
    <row r="13" spans="1:8">
      <c r="A13" t="s">
        <v>22</v>
      </c>
      <c r="B13">
        <v>100</v>
      </c>
      <c r="C13" s="2">
        <v>100</v>
      </c>
      <c r="D13" s="2"/>
      <c r="E13" s="2"/>
      <c r="F13" s="2">
        <v>100</v>
      </c>
      <c r="G13" s="3">
        <v>1</v>
      </c>
      <c r="H13" t="s">
        <v>25</v>
      </c>
    </row>
    <row r="14" spans="1:8">
      <c r="A14" t="s">
        <v>20</v>
      </c>
      <c r="B14">
        <f>AVERAGE(B3:B11)</f>
        <v>87.666666666666671</v>
      </c>
      <c r="C14">
        <f t="shared" ref="C14:G14" si="2">AVERAGE(C3:C11)</f>
        <v>89.222222222222229</v>
      </c>
      <c r="D14">
        <f t="shared" si="2"/>
        <v>88.444444444444443</v>
      </c>
      <c r="E14">
        <f t="shared" si="2"/>
        <v>88.444444444444443</v>
      </c>
      <c r="F14">
        <f t="shared" si="2"/>
        <v>92</v>
      </c>
      <c r="G14">
        <f t="shared" si="2"/>
        <v>90.306296296296296</v>
      </c>
    </row>
    <row r="15" spans="1:8">
      <c r="A15" t="s">
        <v>31</v>
      </c>
      <c r="B15">
        <f>STDEV(B3:B11)</f>
        <v>7.6974021591703261</v>
      </c>
      <c r="C15">
        <f t="shared" ref="C15:G15" si="3">STDEV(C3:C11)</f>
        <v>6.0987248211773286</v>
      </c>
      <c r="D15">
        <f t="shared" si="3"/>
        <v>6.5213325155046169</v>
      </c>
      <c r="E15">
        <f t="shared" si="3"/>
        <v>4.2849867107274813</v>
      </c>
      <c r="F15">
        <f t="shared" si="3"/>
        <v>9.8742088290657488</v>
      </c>
      <c r="G15">
        <f t="shared" si="3"/>
        <v>4.8044957084324347</v>
      </c>
    </row>
  </sheetData>
  <pageMargins left="0.7" right="0.7" top="0.75" bottom="0.75" header="0.3" footer="0.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dimension ref="A1:J44"/>
  <sheetViews>
    <sheetView workbookViewId="0">
      <selection activeCell="H44" sqref="H44"/>
    </sheetView>
  </sheetViews>
  <sheetFormatPr defaultColWidth="8.85546875" defaultRowHeight="15"/>
  <cols>
    <col min="2" max="3" width="14.42578125" bestFit="1" customWidth="1"/>
    <col min="8" max="9" width="19.28515625" bestFit="1" customWidth="1"/>
    <col min="10" max="10" width="18.140625" bestFit="1" customWidth="1"/>
    <col min="23" max="23" width="12.140625" bestFit="1" customWidth="1"/>
  </cols>
  <sheetData>
    <row r="1" spans="1:3">
      <c r="A1" t="s">
        <v>49</v>
      </c>
      <c r="B1" t="s">
        <v>47</v>
      </c>
      <c r="C1" t="s">
        <v>48</v>
      </c>
    </row>
    <row r="2" spans="1:3">
      <c r="A2">
        <v>2.4</v>
      </c>
      <c r="B2">
        <v>6.7</v>
      </c>
      <c r="C2">
        <v>0.8</v>
      </c>
    </row>
    <row r="3" spans="1:3">
      <c r="A3">
        <v>2.7</v>
      </c>
      <c r="B3">
        <v>6.3</v>
      </c>
      <c r="C3">
        <v>1.2</v>
      </c>
    </row>
    <row r="4" spans="1:3">
      <c r="A4">
        <v>2.9</v>
      </c>
      <c r="B4">
        <v>8.6999999999999993</v>
      </c>
      <c r="C4">
        <v>1.5</v>
      </c>
    </row>
    <row r="5" spans="1:3">
      <c r="A5">
        <v>3</v>
      </c>
      <c r="B5">
        <v>7.3</v>
      </c>
      <c r="C5">
        <v>1.4</v>
      </c>
    </row>
    <row r="6" spans="1:3">
      <c r="A6">
        <v>3.1</v>
      </c>
      <c r="B6">
        <v>7.1</v>
      </c>
      <c r="C6">
        <v>2.2000000000000002</v>
      </c>
    </row>
    <row r="7" spans="1:3">
      <c r="A7">
        <v>3.2</v>
      </c>
      <c r="B7">
        <v>7.6</v>
      </c>
      <c r="C7">
        <v>2</v>
      </c>
    </row>
    <row r="8" spans="1:3">
      <c r="A8">
        <v>3.5</v>
      </c>
      <c r="B8">
        <v>6.9</v>
      </c>
      <c r="C8">
        <v>2.7</v>
      </c>
    </row>
    <row r="9" spans="1:3">
      <c r="A9">
        <v>3.7</v>
      </c>
      <c r="B9">
        <v>7.2</v>
      </c>
      <c r="C9">
        <v>2.2999999999999998</v>
      </c>
    </row>
    <row r="10" spans="1:3">
      <c r="A10">
        <v>3.9</v>
      </c>
      <c r="B10">
        <v>8.5</v>
      </c>
      <c r="C10">
        <v>3.4</v>
      </c>
    </row>
    <row r="11" spans="1:3">
      <c r="A11">
        <v>4</v>
      </c>
      <c r="B11">
        <v>6.2</v>
      </c>
      <c r="C11">
        <v>4.2</v>
      </c>
    </row>
    <row r="25" spans="8:10">
      <c r="I25" s="5" t="s">
        <v>51</v>
      </c>
      <c r="J25" t="s">
        <v>58</v>
      </c>
    </row>
    <row r="26" spans="8:10">
      <c r="H26" t="s">
        <v>52</v>
      </c>
      <c r="I26" t="s">
        <v>53</v>
      </c>
      <c r="J26">
        <f>CORREL(A2:A11,B2:B11)</f>
        <v>9.9019924285973088E-2</v>
      </c>
    </row>
    <row r="27" spans="8:10">
      <c r="H27" t="s">
        <v>54</v>
      </c>
      <c r="I27" t="s">
        <v>55</v>
      </c>
      <c r="J27">
        <f>CORREL(A2:A11,C2:C11)</f>
        <v>0.93983471971241184</v>
      </c>
    </row>
    <row r="28" spans="8:10">
      <c r="H28" t="s">
        <v>56</v>
      </c>
      <c r="I28" t="s">
        <v>57</v>
      </c>
      <c r="J28">
        <f>CORREL(B2:B11,C2:C11)</f>
        <v>-2.3622597573577635E-2</v>
      </c>
    </row>
    <row r="44" spans="8:8">
      <c r="H44" s="6" t="s">
        <v>59</v>
      </c>
    </row>
  </sheetData>
  <sortState ref="A2:C11">
    <sortCondition ref="A2"/>
  </sortState>
  <pageMargins left="0.7" right="0.7" top="0.75" bottom="0.75" header="0.3" footer="0.3"/>
  <pageSetup orientation="portrait" horizontalDpi="4294967292" verticalDpi="4294967292" r:id="rId1"/>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Sheet7</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 Matt</dc:creator>
  <cp:lastModifiedBy>Kent Pearce</cp:lastModifiedBy>
  <dcterms:created xsi:type="dcterms:W3CDTF">2011-10-04T19:07:09Z</dcterms:created>
  <dcterms:modified xsi:type="dcterms:W3CDTF">2011-10-27T20:19:29Z</dcterms:modified>
</cp:coreProperties>
</file>