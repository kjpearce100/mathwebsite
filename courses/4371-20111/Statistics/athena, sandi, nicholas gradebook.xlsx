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720" yWindow="360" windowWidth="17955" windowHeight="11535"/>
  </bookViews>
  <sheets>
    <sheet name="Our Class" sheetId="1" r:id="rId1"/>
    <sheet name="Class 2" sheetId="2" r:id="rId2"/>
    <sheet name="Class 3" sheetId="3" r:id="rId3"/>
    <sheet name="Class 4" sheetId="4" r:id="rId4"/>
    <sheet name="Class 5" sheetId="5" r:id="rId5"/>
    <sheet name="Class 6" sheetId="6" r:id="rId6"/>
  </sheets>
  <calcPr calcId="125725"/>
</workbook>
</file>

<file path=xl/calcChain.xml><?xml version="1.0" encoding="utf-8"?>
<calcChain xmlns="http://schemas.openxmlformats.org/spreadsheetml/2006/main">
  <c r="G3" i="6"/>
  <c r="G4"/>
  <c r="G5"/>
  <c r="G6"/>
  <c r="G2"/>
  <c r="H2"/>
  <c r="H3"/>
  <c r="H4"/>
  <c r="H5"/>
  <c r="H6"/>
  <c r="E3"/>
  <c r="E4"/>
  <c r="E8" s="1"/>
  <c r="E5"/>
  <c r="E6"/>
  <c r="E2"/>
  <c r="E9" s="1"/>
  <c r="F9"/>
  <c r="D9"/>
  <c r="C9"/>
  <c r="B9"/>
  <c r="F8"/>
  <c r="D8"/>
  <c r="C8"/>
  <c r="B8"/>
  <c r="L3" i="5"/>
  <c r="L4"/>
  <c r="L5"/>
  <c r="L6"/>
  <c r="L2"/>
  <c r="M2" s="1"/>
  <c r="P9"/>
  <c r="N9"/>
  <c r="K9"/>
  <c r="J9"/>
  <c r="I9"/>
  <c r="H9"/>
  <c r="G9"/>
  <c r="F9"/>
  <c r="E9"/>
  <c r="D9"/>
  <c r="C9"/>
  <c r="B9"/>
  <c r="P8"/>
  <c r="N8"/>
  <c r="K8"/>
  <c r="J8"/>
  <c r="I8"/>
  <c r="H8"/>
  <c r="G8"/>
  <c r="F8"/>
  <c r="E8"/>
  <c r="D8"/>
  <c r="C8"/>
  <c r="B8"/>
  <c r="Q6"/>
  <c r="O6"/>
  <c r="M6"/>
  <c r="Q5"/>
  <c r="O5"/>
  <c r="M5"/>
  <c r="R5" s="1"/>
  <c r="S5" s="1"/>
  <c r="Q4"/>
  <c r="O4"/>
  <c r="M4"/>
  <c r="Q3"/>
  <c r="O3"/>
  <c r="M3"/>
  <c r="R3" s="1"/>
  <c r="S3" s="1"/>
  <c r="Q2"/>
  <c r="O2"/>
  <c r="O9" s="1"/>
  <c r="S3" i="4"/>
  <c r="S4"/>
  <c r="S5"/>
  <c r="S6"/>
  <c r="S2"/>
  <c r="R3"/>
  <c r="R4"/>
  <c r="R5"/>
  <c r="R6"/>
  <c r="R2"/>
  <c r="Q3"/>
  <c r="Q4"/>
  <c r="Q5"/>
  <c r="Q6"/>
  <c r="Q2"/>
  <c r="Q9"/>
  <c r="Q8"/>
  <c r="O9"/>
  <c r="O8"/>
  <c r="O3"/>
  <c r="O4"/>
  <c r="O5"/>
  <c r="O6"/>
  <c r="O2"/>
  <c r="M9"/>
  <c r="M8"/>
  <c r="M3"/>
  <c r="M4"/>
  <c r="M5"/>
  <c r="M6"/>
  <c r="M2"/>
  <c r="L9"/>
  <c r="L8"/>
  <c r="L3"/>
  <c r="L4"/>
  <c r="L5"/>
  <c r="L6"/>
  <c r="L2"/>
  <c r="P9"/>
  <c r="N9"/>
  <c r="K9"/>
  <c r="J9"/>
  <c r="I9"/>
  <c r="H9"/>
  <c r="G9"/>
  <c r="F9"/>
  <c r="E9"/>
  <c r="D9"/>
  <c r="C9"/>
  <c r="B9"/>
  <c r="P8"/>
  <c r="N8"/>
  <c r="K8"/>
  <c r="J8"/>
  <c r="I8"/>
  <c r="H8"/>
  <c r="G8"/>
  <c r="F8"/>
  <c r="E8"/>
  <c r="D8"/>
  <c r="C8"/>
  <c r="B8"/>
  <c r="E3" i="3"/>
  <c r="F3" s="1"/>
  <c r="E4"/>
  <c r="F4" s="1"/>
  <c r="E5"/>
  <c r="F5" s="1"/>
  <c r="E6"/>
  <c r="F6" s="1"/>
  <c r="E2"/>
  <c r="F2" s="1"/>
  <c r="D9"/>
  <c r="C9"/>
  <c r="B9"/>
  <c r="D8"/>
  <c r="C8"/>
  <c r="B8"/>
  <c r="G3" i="2"/>
  <c r="H3" s="1"/>
  <c r="G4"/>
  <c r="H4" s="1"/>
  <c r="G5"/>
  <c r="H5" s="1"/>
  <c r="G6"/>
  <c r="H6" s="1"/>
  <c r="G2"/>
  <c r="H2" s="1"/>
  <c r="F9"/>
  <c r="E9"/>
  <c r="D9"/>
  <c r="C9"/>
  <c r="B9"/>
  <c r="F8"/>
  <c r="E8"/>
  <c r="D8"/>
  <c r="C8"/>
  <c r="B8"/>
  <c r="P3" i="1"/>
  <c r="Q3" s="1"/>
  <c r="P4"/>
  <c r="Q4" s="1"/>
  <c r="P5"/>
  <c r="Q5" s="1"/>
  <c r="P6"/>
  <c r="Q6" s="1"/>
  <c r="P2"/>
  <c r="Q2" s="1"/>
  <c r="C9"/>
  <c r="D9"/>
  <c r="E9"/>
  <c r="F9"/>
  <c r="G9"/>
  <c r="H9"/>
  <c r="I9"/>
  <c r="J9"/>
  <c r="K9"/>
  <c r="L9"/>
  <c r="M9"/>
  <c r="N9"/>
  <c r="O9"/>
  <c r="B9"/>
  <c r="D8"/>
  <c r="E8"/>
  <c r="F8"/>
  <c r="G8"/>
  <c r="H8"/>
  <c r="I8"/>
  <c r="J8"/>
  <c r="K8"/>
  <c r="L8"/>
  <c r="M8"/>
  <c r="N8"/>
  <c r="O8"/>
  <c r="C8"/>
  <c r="B8"/>
  <c r="G8" i="6" l="1"/>
  <c r="Q9" i="5"/>
  <c r="R6"/>
  <c r="S6" s="1"/>
  <c r="R4"/>
  <c r="S4" s="1"/>
  <c r="M9"/>
  <c r="M8"/>
  <c r="R2"/>
  <c r="L8"/>
  <c r="L9"/>
  <c r="O8"/>
  <c r="Q8"/>
  <c r="S9" i="4"/>
  <c r="S8"/>
  <c r="R8"/>
  <c r="R9"/>
  <c r="F9" i="3"/>
  <c r="F8"/>
  <c r="E8"/>
  <c r="E9"/>
  <c r="G9" i="2"/>
  <c r="H9"/>
  <c r="G8"/>
  <c r="P9" i="1"/>
  <c r="P8"/>
  <c r="H8" i="6" l="1"/>
  <c r="G9"/>
  <c r="S2" i="5"/>
  <c r="R9"/>
  <c r="R8"/>
  <c r="H8" i="2"/>
  <c r="Q9" i="1"/>
  <c r="Q8"/>
  <c r="H9" i="6" l="1"/>
  <c r="S9" i="5"/>
  <c r="S8"/>
</calcChain>
</file>

<file path=xl/sharedStrings.xml><?xml version="1.0" encoding="utf-8"?>
<sst xmlns="http://schemas.openxmlformats.org/spreadsheetml/2006/main" count="162" uniqueCount="80">
  <si>
    <t>Student</t>
  </si>
  <si>
    <t>Mid-term</t>
  </si>
  <si>
    <t>Lab 1</t>
  </si>
  <si>
    <t>Lab 2</t>
  </si>
  <si>
    <t>Lab 3</t>
  </si>
  <si>
    <t>Historical</t>
  </si>
  <si>
    <t>Lab 4</t>
  </si>
  <si>
    <t>Lab 5</t>
  </si>
  <si>
    <t>Lab 6</t>
  </si>
  <si>
    <t>Statistics</t>
  </si>
  <si>
    <t>Lab 7</t>
  </si>
  <si>
    <t>Lab 8</t>
  </si>
  <si>
    <t>Lab 9</t>
  </si>
  <si>
    <t>Final Project</t>
  </si>
  <si>
    <t>Final Exam</t>
  </si>
  <si>
    <t>Total Points</t>
  </si>
  <si>
    <t>Average</t>
  </si>
  <si>
    <t>Letter Grade</t>
  </si>
  <si>
    <t>Class Mean</t>
  </si>
  <si>
    <t>Standard Deviation</t>
  </si>
  <si>
    <t>A</t>
  </si>
  <si>
    <t>B</t>
  </si>
  <si>
    <t>C</t>
  </si>
  <si>
    <t>D</t>
  </si>
  <si>
    <t>Test 1</t>
  </si>
  <si>
    <t>Test 2</t>
  </si>
  <si>
    <t>Test 3</t>
  </si>
  <si>
    <t>Homework</t>
  </si>
  <si>
    <t>Points Possible</t>
  </si>
  <si>
    <t>Mid Term</t>
  </si>
  <si>
    <t>Homework 1</t>
  </si>
  <si>
    <t>Homework 2</t>
  </si>
  <si>
    <t>Homework 3</t>
  </si>
  <si>
    <t>Homework 4</t>
  </si>
  <si>
    <t>Homework 5</t>
  </si>
  <si>
    <t>Homework 6</t>
  </si>
  <si>
    <t>Homework 7</t>
  </si>
  <si>
    <t>Homework 8</t>
  </si>
  <si>
    <t>Homework 9</t>
  </si>
  <si>
    <t>Homework 10</t>
  </si>
  <si>
    <t>Final</t>
  </si>
  <si>
    <t>Homework Avg</t>
  </si>
  <si>
    <t xml:space="preserve"> Worth 30%</t>
  </si>
  <si>
    <t>Worth 20%</t>
  </si>
  <si>
    <t xml:space="preserve">Worth 50% </t>
  </si>
  <si>
    <t>Exam 1</t>
  </si>
  <si>
    <t>Exam 2</t>
  </si>
  <si>
    <t>Exam 3</t>
  </si>
  <si>
    <t>Average Exam</t>
  </si>
  <si>
    <t>Javier Simcox</t>
  </si>
  <si>
    <t>Hugh Vanbrunt</t>
  </si>
  <si>
    <t>Jerri Kissling</t>
  </si>
  <si>
    <t>Jessie Harte</t>
  </si>
  <si>
    <t>Darryl Moise</t>
  </si>
  <si>
    <t>Alejandra Ouk</t>
  </si>
  <si>
    <t>Loraine Huntoon</t>
  </si>
  <si>
    <t>Annabell Dice</t>
  </si>
  <si>
    <t>Darren Belser</t>
  </si>
  <si>
    <t>Erik Clever</t>
  </si>
  <si>
    <t>Max Lewicki</t>
  </si>
  <si>
    <t>Kurt Clasen</t>
  </si>
  <si>
    <t>Marylou Mcdonalds</t>
  </si>
  <si>
    <t>Emilia Virgen</t>
  </si>
  <si>
    <t>Liza Okeeffe</t>
  </si>
  <si>
    <t>Javier Dutil</t>
  </si>
  <si>
    <t>Nelson Hoops</t>
  </si>
  <si>
    <t>Guy Milewski</t>
  </si>
  <si>
    <t>Neil Bourke</t>
  </si>
  <si>
    <t>Allan Stake</t>
  </si>
  <si>
    <t>Erik Widell</t>
  </si>
  <si>
    <t>Katherine Mowers</t>
  </si>
  <si>
    <t>Lance Beams</t>
  </si>
  <si>
    <t>Carmella Maheux</t>
  </si>
  <si>
    <t>Ted Winburn</t>
  </si>
  <si>
    <t>Ericka Althoff</t>
  </si>
  <si>
    <t>Christian Medved</t>
  </si>
  <si>
    <t>Jessie Pavone</t>
  </si>
  <si>
    <t>Emilia Kaplin</t>
  </si>
  <si>
    <t>Neil Semon</t>
  </si>
  <si>
    <t>54/54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</si>
</sst>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topLeftCell="B1" workbookViewId="0">
      <selection activeCell="B14" sqref="B14"/>
    </sheetView>
  </sheetViews>
  <sheetFormatPr defaultRowHeight="15"/>
  <cols>
    <col min="1" max="1" width="18.140625" bestFit="1" customWidth="1"/>
    <col min="14" max="14" width="12" bestFit="1" customWidth="1"/>
    <col min="15" max="15" width="10.42578125" bestFit="1" customWidth="1"/>
    <col min="16" max="16" width="11.42578125" bestFit="1" customWidth="1"/>
    <col min="17" max="17" width="8.28515625" style="4" bestFit="1" customWidth="1"/>
    <col min="18" max="18" width="12.140625" bestFit="1" customWidth="1"/>
  </cols>
  <sheetData>
    <row r="1" spans="1:18" s="1" customForma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</row>
    <row r="2" spans="1:18">
      <c r="A2" t="s">
        <v>49</v>
      </c>
      <c r="B2">
        <v>50</v>
      </c>
      <c r="C2">
        <v>49</v>
      </c>
      <c r="D2">
        <v>35</v>
      </c>
      <c r="E2">
        <v>95</v>
      </c>
      <c r="F2">
        <v>38</v>
      </c>
      <c r="G2">
        <v>100</v>
      </c>
      <c r="H2">
        <v>43</v>
      </c>
      <c r="I2">
        <v>37</v>
      </c>
      <c r="J2">
        <v>95</v>
      </c>
      <c r="K2">
        <v>45</v>
      </c>
      <c r="L2">
        <v>43</v>
      </c>
      <c r="M2">
        <v>38</v>
      </c>
      <c r="N2">
        <v>90</v>
      </c>
      <c r="O2">
        <v>100</v>
      </c>
      <c r="P2">
        <f>(B2+C2+D2+E2+F2+G2+H2+I2+J2+K2+L2+M2+N2+O2)</f>
        <v>858</v>
      </c>
      <c r="Q2" s="4">
        <f>(P2/950)*100</f>
        <v>90.31578947368422</v>
      </c>
      <c r="R2" t="s">
        <v>20</v>
      </c>
    </row>
    <row r="3" spans="1:18">
      <c r="A3" t="s">
        <v>50</v>
      </c>
      <c r="B3">
        <v>40</v>
      </c>
      <c r="C3">
        <v>45</v>
      </c>
      <c r="D3">
        <v>39</v>
      </c>
      <c r="E3">
        <v>66</v>
      </c>
      <c r="F3">
        <v>40</v>
      </c>
      <c r="G3">
        <v>70</v>
      </c>
      <c r="H3">
        <v>43</v>
      </c>
      <c r="I3">
        <v>44</v>
      </c>
      <c r="J3">
        <v>95</v>
      </c>
      <c r="K3">
        <v>46</v>
      </c>
      <c r="L3">
        <v>44</v>
      </c>
      <c r="M3">
        <v>46</v>
      </c>
      <c r="N3">
        <v>71</v>
      </c>
      <c r="O3">
        <v>90</v>
      </c>
      <c r="P3">
        <f t="shared" ref="P3:P6" si="0">(B3+C3+D3+E3+F3+G3+H3+I3+J3+K3+L3+M3+N3+O3)</f>
        <v>779</v>
      </c>
      <c r="Q3" s="4">
        <f t="shared" ref="Q3:Q6" si="1">(P3/950)*100</f>
        <v>82</v>
      </c>
      <c r="R3" t="s">
        <v>21</v>
      </c>
    </row>
    <row r="4" spans="1:18">
      <c r="A4" t="s">
        <v>51</v>
      </c>
      <c r="B4">
        <v>25</v>
      </c>
      <c r="C4">
        <v>30</v>
      </c>
      <c r="D4">
        <v>40</v>
      </c>
      <c r="E4">
        <v>65</v>
      </c>
      <c r="F4">
        <v>42</v>
      </c>
      <c r="G4">
        <v>50</v>
      </c>
      <c r="H4">
        <v>40</v>
      </c>
      <c r="I4">
        <v>40</v>
      </c>
      <c r="J4">
        <v>60</v>
      </c>
      <c r="K4">
        <v>44</v>
      </c>
      <c r="L4">
        <v>35</v>
      </c>
      <c r="M4">
        <v>43</v>
      </c>
      <c r="N4">
        <v>70</v>
      </c>
      <c r="O4">
        <v>68</v>
      </c>
      <c r="P4">
        <f t="shared" si="0"/>
        <v>652</v>
      </c>
      <c r="Q4" s="4">
        <f t="shared" si="1"/>
        <v>68.631578947368425</v>
      </c>
      <c r="R4" t="s">
        <v>23</v>
      </c>
    </row>
    <row r="5" spans="1:18">
      <c r="A5" t="s">
        <v>52</v>
      </c>
      <c r="B5">
        <v>37</v>
      </c>
      <c r="C5">
        <v>34</v>
      </c>
      <c r="D5">
        <v>44</v>
      </c>
      <c r="E5">
        <v>74</v>
      </c>
      <c r="F5">
        <v>48</v>
      </c>
      <c r="G5">
        <v>71</v>
      </c>
      <c r="H5">
        <v>36</v>
      </c>
      <c r="I5">
        <v>44</v>
      </c>
      <c r="J5">
        <v>71</v>
      </c>
      <c r="K5">
        <v>43</v>
      </c>
      <c r="L5">
        <v>46</v>
      </c>
      <c r="M5">
        <v>42</v>
      </c>
      <c r="N5">
        <v>87</v>
      </c>
      <c r="O5">
        <v>82</v>
      </c>
      <c r="P5">
        <f t="shared" si="0"/>
        <v>759</v>
      </c>
      <c r="Q5" s="4">
        <f t="shared" si="1"/>
        <v>79.89473684210526</v>
      </c>
      <c r="R5" t="s">
        <v>22</v>
      </c>
    </row>
    <row r="6" spans="1:18">
      <c r="A6" t="s">
        <v>53</v>
      </c>
      <c r="B6">
        <v>42</v>
      </c>
      <c r="C6">
        <v>47</v>
      </c>
      <c r="D6">
        <v>45</v>
      </c>
      <c r="E6">
        <v>74</v>
      </c>
      <c r="F6">
        <v>49</v>
      </c>
      <c r="G6">
        <v>96</v>
      </c>
      <c r="H6">
        <v>40</v>
      </c>
      <c r="I6">
        <v>45</v>
      </c>
      <c r="J6">
        <v>86</v>
      </c>
      <c r="K6">
        <v>39</v>
      </c>
      <c r="L6">
        <v>34</v>
      </c>
      <c r="M6">
        <v>39</v>
      </c>
      <c r="N6">
        <v>70</v>
      </c>
      <c r="O6">
        <v>85</v>
      </c>
      <c r="P6">
        <f t="shared" si="0"/>
        <v>791</v>
      </c>
      <c r="Q6" s="4">
        <f t="shared" si="1"/>
        <v>83.263157894736835</v>
      </c>
      <c r="R6" t="s">
        <v>21</v>
      </c>
    </row>
    <row r="8" spans="1:18">
      <c r="A8" s="1" t="s">
        <v>18</v>
      </c>
      <c r="B8">
        <f>AVERAGE(B2:B6)</f>
        <v>38.799999999999997</v>
      </c>
      <c r="C8">
        <f>AVERAGE(C2:C6)</f>
        <v>41</v>
      </c>
      <c r="D8">
        <f t="shared" ref="D8:Q8" si="2">AVERAGE(D2:D6)</f>
        <v>40.6</v>
      </c>
      <c r="E8">
        <f t="shared" si="2"/>
        <v>74.8</v>
      </c>
      <c r="F8">
        <f t="shared" si="2"/>
        <v>43.4</v>
      </c>
      <c r="G8">
        <f t="shared" si="2"/>
        <v>77.400000000000006</v>
      </c>
      <c r="H8">
        <f t="shared" si="2"/>
        <v>40.4</v>
      </c>
      <c r="I8">
        <f t="shared" si="2"/>
        <v>42</v>
      </c>
      <c r="J8">
        <f t="shared" si="2"/>
        <v>81.400000000000006</v>
      </c>
      <c r="K8">
        <f t="shared" si="2"/>
        <v>43.4</v>
      </c>
      <c r="L8">
        <f t="shared" si="2"/>
        <v>40.4</v>
      </c>
      <c r="M8">
        <f t="shared" si="2"/>
        <v>41.6</v>
      </c>
      <c r="N8">
        <f t="shared" si="2"/>
        <v>77.599999999999994</v>
      </c>
      <c r="O8">
        <f t="shared" si="2"/>
        <v>85</v>
      </c>
      <c r="P8">
        <f t="shared" si="2"/>
        <v>767.8</v>
      </c>
      <c r="Q8" s="4">
        <f t="shared" si="2"/>
        <v>80.821052631578951</v>
      </c>
    </row>
    <row r="9" spans="1:18">
      <c r="A9" s="1" t="s">
        <v>19</v>
      </c>
      <c r="B9">
        <f>STDEVP(B2:B6)</f>
        <v>8.1338797630651012</v>
      </c>
      <c r="C9">
        <f t="shared" ref="C9:Q9" si="3">STDEVP(C2:C6)</f>
        <v>7.5630681604756154</v>
      </c>
      <c r="D9">
        <f t="shared" si="3"/>
        <v>3.6110940170535577</v>
      </c>
      <c r="E9">
        <f t="shared" si="3"/>
        <v>10.796295661012623</v>
      </c>
      <c r="F9">
        <f t="shared" si="3"/>
        <v>4.3634848458542859</v>
      </c>
      <c r="G9">
        <f t="shared" si="3"/>
        <v>18.456435192094922</v>
      </c>
      <c r="H9">
        <f t="shared" si="3"/>
        <v>2.5768197453450252</v>
      </c>
      <c r="I9">
        <f t="shared" si="3"/>
        <v>3.03315017762062</v>
      </c>
      <c r="J9">
        <f t="shared" si="3"/>
        <v>13.836184445142381</v>
      </c>
      <c r="K9">
        <f t="shared" si="3"/>
        <v>2.4166091947189146</v>
      </c>
      <c r="L9">
        <f t="shared" si="3"/>
        <v>4.9234134500364686</v>
      </c>
      <c r="M9">
        <f t="shared" si="3"/>
        <v>2.8705400188814645</v>
      </c>
      <c r="N9">
        <f t="shared" si="3"/>
        <v>8.957678270623477</v>
      </c>
      <c r="O9">
        <f t="shared" si="3"/>
        <v>10.469001862641921</v>
      </c>
      <c r="P9">
        <f t="shared" si="3"/>
        <v>66.763463061767553</v>
      </c>
      <c r="Q9" s="4">
        <f t="shared" si="3"/>
        <v>7.0277329538702693</v>
      </c>
    </row>
    <row r="11" spans="1:18">
      <c r="A11" s="1" t="s">
        <v>28</v>
      </c>
      <c r="B11">
        <v>50</v>
      </c>
      <c r="C11">
        <v>50</v>
      </c>
      <c r="D11">
        <v>50</v>
      </c>
      <c r="E11">
        <v>100</v>
      </c>
      <c r="F11">
        <v>50</v>
      </c>
      <c r="G11">
        <v>100</v>
      </c>
      <c r="H11">
        <v>50</v>
      </c>
      <c r="I11">
        <v>50</v>
      </c>
      <c r="J11">
        <v>100</v>
      </c>
      <c r="K11">
        <v>50</v>
      </c>
      <c r="L11">
        <v>50</v>
      </c>
      <c r="M11">
        <v>50</v>
      </c>
      <c r="N11">
        <v>100</v>
      </c>
      <c r="O11">
        <v>100</v>
      </c>
      <c r="P11">
        <v>950</v>
      </c>
    </row>
    <row r="14" spans="1:18">
      <c r="B14" s="5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selection activeCell="F2" sqref="F2"/>
    </sheetView>
  </sheetViews>
  <sheetFormatPr defaultRowHeight="15"/>
  <cols>
    <col min="1" max="1" width="18.140625" bestFit="1" customWidth="1"/>
    <col min="5" max="5" width="12" bestFit="1" customWidth="1"/>
    <col min="7" max="7" width="11.42578125" bestFit="1" customWidth="1"/>
    <col min="8" max="8" width="8.28515625" bestFit="1" customWidth="1"/>
    <col min="9" max="9" width="12.140625" bestFit="1" customWidth="1"/>
  </cols>
  <sheetData>
    <row r="1" spans="1:9" s="1" customFormat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t="s">
        <v>54</v>
      </c>
      <c r="B2">
        <v>19</v>
      </c>
      <c r="C2">
        <v>17</v>
      </c>
      <c r="D2">
        <v>17</v>
      </c>
      <c r="E2">
        <v>15</v>
      </c>
      <c r="F2">
        <v>23</v>
      </c>
      <c r="G2">
        <f>(B2+C2+D2+E2+F2)</f>
        <v>91</v>
      </c>
      <c r="H2">
        <f>(G2/100)*100</f>
        <v>91</v>
      </c>
      <c r="I2" t="s">
        <v>20</v>
      </c>
    </row>
    <row r="3" spans="1:9">
      <c r="A3" t="s">
        <v>55</v>
      </c>
      <c r="B3">
        <v>19</v>
      </c>
      <c r="C3">
        <v>16</v>
      </c>
      <c r="D3">
        <v>11</v>
      </c>
      <c r="E3">
        <v>12</v>
      </c>
      <c r="F3">
        <v>15</v>
      </c>
      <c r="G3">
        <f t="shared" ref="G3:G6" si="0">(B3+C3+D3+E3+F3)</f>
        <v>73</v>
      </c>
      <c r="H3">
        <f t="shared" ref="H3:H6" si="1">(G3/100)*100</f>
        <v>73</v>
      </c>
      <c r="I3" t="s">
        <v>22</v>
      </c>
    </row>
    <row r="4" spans="1:9">
      <c r="A4" t="s">
        <v>56</v>
      </c>
      <c r="B4">
        <v>20</v>
      </c>
      <c r="C4">
        <v>19</v>
      </c>
      <c r="D4">
        <v>14</v>
      </c>
      <c r="E4">
        <v>6</v>
      </c>
      <c r="F4">
        <v>21</v>
      </c>
      <c r="G4">
        <f t="shared" si="0"/>
        <v>80</v>
      </c>
      <c r="H4">
        <f t="shared" si="1"/>
        <v>80</v>
      </c>
      <c r="I4" t="s">
        <v>21</v>
      </c>
    </row>
    <row r="5" spans="1:9">
      <c r="A5" t="s">
        <v>57</v>
      </c>
      <c r="B5">
        <v>12</v>
      </c>
      <c r="C5">
        <v>15</v>
      </c>
      <c r="D5">
        <v>10</v>
      </c>
      <c r="E5">
        <v>14</v>
      </c>
      <c r="F5">
        <v>25</v>
      </c>
      <c r="G5">
        <f t="shared" si="0"/>
        <v>76</v>
      </c>
      <c r="H5">
        <f t="shared" si="1"/>
        <v>76</v>
      </c>
      <c r="I5" t="s">
        <v>22</v>
      </c>
    </row>
    <row r="6" spans="1:9">
      <c r="A6" t="s">
        <v>58</v>
      </c>
      <c r="B6">
        <v>12</v>
      </c>
      <c r="C6">
        <v>17</v>
      </c>
      <c r="D6">
        <v>20</v>
      </c>
      <c r="E6">
        <v>0</v>
      </c>
      <c r="F6">
        <v>17</v>
      </c>
      <c r="G6">
        <f t="shared" si="0"/>
        <v>66</v>
      </c>
      <c r="H6">
        <f t="shared" si="1"/>
        <v>66</v>
      </c>
      <c r="I6" t="s">
        <v>23</v>
      </c>
    </row>
    <row r="8" spans="1:9">
      <c r="A8" s="1" t="s">
        <v>18</v>
      </c>
      <c r="B8">
        <f>AVERAGE(B2:B6)</f>
        <v>16.399999999999999</v>
      </c>
      <c r="C8">
        <f>AVERAGE(C2:C6)</f>
        <v>16.8</v>
      </c>
      <c r="D8">
        <f t="shared" ref="D8:H8" si="2">AVERAGE(D2:D6)</f>
        <v>14.4</v>
      </c>
      <c r="E8">
        <f t="shared" si="2"/>
        <v>9.4</v>
      </c>
      <c r="F8">
        <f t="shared" si="2"/>
        <v>20.2</v>
      </c>
      <c r="G8">
        <f t="shared" si="2"/>
        <v>77.2</v>
      </c>
      <c r="H8">
        <f t="shared" si="2"/>
        <v>77.2</v>
      </c>
    </row>
    <row r="9" spans="1:9">
      <c r="A9" s="1" t="s">
        <v>19</v>
      </c>
      <c r="B9">
        <f>STDEVP(B2:B6)</f>
        <v>3.6110940170535577</v>
      </c>
      <c r="C9">
        <f t="shared" ref="C9:H9" si="3">STDEVP(C2:C6)</f>
        <v>1.3266499161421599</v>
      </c>
      <c r="D9">
        <f t="shared" si="3"/>
        <v>3.7202150475476548</v>
      </c>
      <c r="E9">
        <f t="shared" si="3"/>
        <v>5.6426943918663541</v>
      </c>
      <c r="F9">
        <f t="shared" si="3"/>
        <v>3.7094473981982814</v>
      </c>
      <c r="G9">
        <f t="shared" si="3"/>
        <v>8.2800966177937809</v>
      </c>
      <c r="H9">
        <f t="shared" si="3"/>
        <v>8.2800966177937809</v>
      </c>
    </row>
    <row r="12" spans="1:9">
      <c r="A12" s="1" t="s">
        <v>28</v>
      </c>
      <c r="B12">
        <v>20</v>
      </c>
      <c r="C12">
        <v>20</v>
      </c>
      <c r="D12">
        <v>20</v>
      </c>
      <c r="E12">
        <v>15</v>
      </c>
      <c r="F12">
        <v>25</v>
      </c>
      <c r="G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D2" sqref="D2"/>
    </sheetView>
  </sheetViews>
  <sheetFormatPr defaultRowHeight="15"/>
  <cols>
    <col min="1" max="1" width="18.140625" bestFit="1" customWidth="1"/>
    <col min="3" max="3" width="11" bestFit="1" customWidth="1"/>
    <col min="4" max="4" width="12" bestFit="1" customWidth="1"/>
    <col min="5" max="5" width="11.42578125" bestFit="1" customWidth="1"/>
    <col min="6" max="6" width="8.28515625" bestFit="1" customWidth="1"/>
    <col min="7" max="7" width="12.140625" bestFit="1" customWidth="1"/>
  </cols>
  <sheetData>
    <row r="1" spans="1:7" s="1" customFormat="1">
      <c r="A1" s="1" t="s">
        <v>0</v>
      </c>
      <c r="B1" s="1" t="s">
        <v>29</v>
      </c>
      <c r="C1" s="1" t="s">
        <v>27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t="s">
        <v>59</v>
      </c>
      <c r="B2">
        <v>24</v>
      </c>
      <c r="C2">
        <v>25</v>
      </c>
      <c r="D2">
        <v>41</v>
      </c>
      <c r="E2">
        <f>(B2+C2+D2)</f>
        <v>90</v>
      </c>
      <c r="F2">
        <f>(E2/100)*100</f>
        <v>90</v>
      </c>
      <c r="G2" t="s">
        <v>20</v>
      </c>
    </row>
    <row r="3" spans="1:7">
      <c r="A3" t="s">
        <v>60</v>
      </c>
      <c r="B3">
        <v>20</v>
      </c>
      <c r="C3">
        <v>22</v>
      </c>
      <c r="D3">
        <v>46</v>
      </c>
      <c r="E3">
        <f t="shared" ref="E3:E6" si="0">(B3+C3+D3)</f>
        <v>88</v>
      </c>
      <c r="F3">
        <f t="shared" ref="F3:F6" si="1">(E3/100)*100</f>
        <v>88</v>
      </c>
      <c r="G3" t="s">
        <v>21</v>
      </c>
    </row>
    <row r="4" spans="1:7">
      <c r="A4" t="s">
        <v>61</v>
      </c>
      <c r="B4">
        <v>18</v>
      </c>
      <c r="C4">
        <v>17</v>
      </c>
      <c r="D4">
        <v>36</v>
      </c>
      <c r="E4">
        <f t="shared" si="0"/>
        <v>71</v>
      </c>
      <c r="F4">
        <f t="shared" si="1"/>
        <v>71</v>
      </c>
      <c r="G4" t="s">
        <v>22</v>
      </c>
    </row>
    <row r="5" spans="1:7">
      <c r="A5" t="s">
        <v>62</v>
      </c>
      <c r="B5">
        <v>24</v>
      </c>
      <c r="C5">
        <v>20</v>
      </c>
      <c r="D5">
        <v>40</v>
      </c>
      <c r="E5">
        <f t="shared" si="0"/>
        <v>84</v>
      </c>
      <c r="F5">
        <f t="shared" si="1"/>
        <v>84</v>
      </c>
      <c r="G5" t="s">
        <v>21</v>
      </c>
    </row>
    <row r="6" spans="1:7">
      <c r="A6" t="s">
        <v>63</v>
      </c>
      <c r="B6">
        <v>24</v>
      </c>
      <c r="C6">
        <v>24</v>
      </c>
      <c r="D6">
        <v>50</v>
      </c>
      <c r="E6">
        <f t="shared" si="0"/>
        <v>98</v>
      </c>
      <c r="F6">
        <f t="shared" si="1"/>
        <v>98</v>
      </c>
      <c r="G6" t="s">
        <v>20</v>
      </c>
    </row>
    <row r="8" spans="1:7">
      <c r="A8" s="1" t="s">
        <v>18</v>
      </c>
      <c r="B8">
        <f>AVERAGE(B2:B6)</f>
        <v>22</v>
      </c>
      <c r="C8">
        <f>AVERAGE(C2:C6)</f>
        <v>21.6</v>
      </c>
      <c r="D8">
        <f t="shared" ref="D8:F8" si="2">AVERAGE(D2:D6)</f>
        <v>42.6</v>
      </c>
      <c r="E8">
        <f t="shared" si="2"/>
        <v>86.2</v>
      </c>
      <c r="F8">
        <f t="shared" si="2"/>
        <v>86.2</v>
      </c>
    </row>
    <row r="9" spans="1:7">
      <c r="A9" s="1" t="s">
        <v>19</v>
      </c>
      <c r="B9">
        <f>STDEVP(B2:B6)</f>
        <v>2.5298221281347035</v>
      </c>
      <c r="C9">
        <f t="shared" ref="C9:F9" si="3">STDEVP(C2:C6)</f>
        <v>2.8705400188814649</v>
      </c>
      <c r="D9">
        <f t="shared" si="3"/>
        <v>4.8826222462934812</v>
      </c>
      <c r="E9">
        <f t="shared" si="3"/>
        <v>8.8634079224641358</v>
      </c>
      <c r="F9">
        <f t="shared" si="3"/>
        <v>8.8634079224641358</v>
      </c>
    </row>
    <row r="11" spans="1:7">
      <c r="A11" s="1" t="s">
        <v>28</v>
      </c>
      <c r="B11">
        <v>25</v>
      </c>
      <c r="C11">
        <v>25</v>
      </c>
      <c r="D11">
        <v>50</v>
      </c>
      <c r="E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topLeftCell="G1" workbookViewId="0">
      <selection activeCell="L2" sqref="L2"/>
    </sheetView>
  </sheetViews>
  <sheetFormatPr defaultRowHeight="15"/>
  <cols>
    <col min="1" max="1" width="18.140625" bestFit="1" customWidth="1"/>
    <col min="2" max="10" width="12.140625" bestFit="1" customWidth="1"/>
    <col min="11" max="11" width="13.28515625" bestFit="1" customWidth="1"/>
    <col min="12" max="12" width="14.5703125" bestFit="1" customWidth="1"/>
    <col min="13" max="13" width="14.5703125" customWidth="1"/>
    <col min="15" max="15" width="10.7109375" bestFit="1" customWidth="1"/>
    <col min="17" max="17" width="11.140625" bestFit="1" customWidth="1"/>
    <col min="18" max="18" width="11.42578125" bestFit="1" customWidth="1"/>
    <col min="19" max="19" width="8.28515625" style="4" bestFit="1" customWidth="1"/>
    <col min="20" max="20" width="12.140625" bestFit="1" customWidth="1"/>
  </cols>
  <sheetData>
    <row r="1" spans="1:20" s="1" customFormat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41</v>
      </c>
      <c r="M1" s="2" t="s">
        <v>42</v>
      </c>
      <c r="N1" s="1" t="s">
        <v>1</v>
      </c>
      <c r="O1" s="1" t="s">
        <v>43</v>
      </c>
      <c r="P1" s="1" t="s">
        <v>40</v>
      </c>
      <c r="Q1" s="1" t="s">
        <v>44</v>
      </c>
      <c r="R1" s="1" t="s">
        <v>15</v>
      </c>
      <c r="S1" s="3" t="s">
        <v>16</v>
      </c>
      <c r="T1" s="1" t="s">
        <v>17</v>
      </c>
    </row>
    <row r="2" spans="1:20">
      <c r="A2" t="s">
        <v>64</v>
      </c>
      <c r="B2">
        <v>58</v>
      </c>
      <c r="C2">
        <v>97</v>
      </c>
      <c r="D2">
        <v>38</v>
      </c>
      <c r="E2">
        <v>36</v>
      </c>
      <c r="F2">
        <v>83</v>
      </c>
      <c r="G2">
        <v>54</v>
      </c>
      <c r="H2">
        <v>94</v>
      </c>
      <c r="I2">
        <v>64</v>
      </c>
      <c r="J2">
        <v>92</v>
      </c>
      <c r="K2">
        <v>90</v>
      </c>
      <c r="L2">
        <f>(SUM(B2:K2)-MIN(B2:K2))/9</f>
        <v>74.444444444444443</v>
      </c>
      <c r="M2">
        <f>L2*0.3</f>
        <v>22.333333333333332</v>
      </c>
      <c r="N2">
        <v>75</v>
      </c>
      <c r="O2">
        <f>N2*0.2</f>
        <v>15</v>
      </c>
      <c r="P2">
        <v>95</v>
      </c>
      <c r="Q2">
        <f>P2*0.5</f>
        <v>47.5</v>
      </c>
      <c r="R2">
        <f>M2+O2+Q2</f>
        <v>84.833333333333329</v>
      </c>
      <c r="S2" s="4">
        <f>(R2/100)*100</f>
        <v>84.833333333333329</v>
      </c>
      <c r="T2" t="s">
        <v>21</v>
      </c>
    </row>
    <row r="3" spans="1:20">
      <c r="A3" t="s">
        <v>65</v>
      </c>
      <c r="B3">
        <v>79</v>
      </c>
      <c r="C3">
        <v>76</v>
      </c>
      <c r="D3">
        <v>76</v>
      </c>
      <c r="E3">
        <v>71</v>
      </c>
      <c r="F3">
        <v>75</v>
      </c>
      <c r="G3">
        <v>74</v>
      </c>
      <c r="H3">
        <v>48</v>
      </c>
      <c r="I3">
        <v>88</v>
      </c>
      <c r="J3">
        <v>43</v>
      </c>
      <c r="K3">
        <v>64</v>
      </c>
      <c r="L3">
        <f t="shared" ref="L3:L6" si="0">(SUM(B3:K3)-MIN(B3:K3))/9</f>
        <v>72.333333333333329</v>
      </c>
      <c r="M3">
        <f t="shared" ref="M3:M6" si="1">L3*0.3</f>
        <v>21.7</v>
      </c>
      <c r="N3">
        <v>100</v>
      </c>
      <c r="O3">
        <f t="shared" ref="O3:O6" si="2">N3*0.2</f>
        <v>20</v>
      </c>
      <c r="P3">
        <v>78</v>
      </c>
      <c r="Q3">
        <f t="shared" ref="Q3:Q6" si="3">P3*0.5</f>
        <v>39</v>
      </c>
      <c r="R3">
        <f t="shared" ref="R3:R6" si="4">M3+O3+Q3</f>
        <v>80.7</v>
      </c>
      <c r="S3" s="4">
        <f t="shared" ref="S3:S6" si="5">(R3/100)*100</f>
        <v>80.7</v>
      </c>
      <c r="T3" t="s">
        <v>21</v>
      </c>
    </row>
    <row r="4" spans="1:20">
      <c r="A4" t="s">
        <v>66</v>
      </c>
      <c r="B4">
        <v>70</v>
      </c>
      <c r="C4">
        <v>99</v>
      </c>
      <c r="D4">
        <v>63</v>
      </c>
      <c r="E4">
        <v>60</v>
      </c>
      <c r="F4">
        <v>43</v>
      </c>
      <c r="G4">
        <v>67</v>
      </c>
      <c r="H4">
        <v>65</v>
      </c>
      <c r="I4">
        <v>84</v>
      </c>
      <c r="J4">
        <v>63</v>
      </c>
      <c r="K4">
        <v>82</v>
      </c>
      <c r="L4">
        <f t="shared" si="0"/>
        <v>72.555555555555557</v>
      </c>
      <c r="M4">
        <f t="shared" si="1"/>
        <v>21.766666666666666</v>
      </c>
      <c r="N4">
        <v>70</v>
      </c>
      <c r="O4">
        <f t="shared" si="2"/>
        <v>14</v>
      </c>
      <c r="P4">
        <v>73</v>
      </c>
      <c r="Q4">
        <f t="shared" si="3"/>
        <v>36.5</v>
      </c>
      <c r="R4">
        <f t="shared" si="4"/>
        <v>72.266666666666666</v>
      </c>
      <c r="S4" s="4">
        <f t="shared" si="5"/>
        <v>72.266666666666666</v>
      </c>
      <c r="T4" t="s">
        <v>22</v>
      </c>
    </row>
    <row r="5" spans="1:20">
      <c r="A5" t="s">
        <v>67</v>
      </c>
      <c r="B5">
        <v>78</v>
      </c>
      <c r="C5">
        <v>45</v>
      </c>
      <c r="D5">
        <v>90</v>
      </c>
      <c r="E5">
        <v>94</v>
      </c>
      <c r="F5">
        <v>69</v>
      </c>
      <c r="G5">
        <v>53</v>
      </c>
      <c r="H5">
        <v>41</v>
      </c>
      <c r="I5">
        <v>85</v>
      </c>
      <c r="J5">
        <v>49</v>
      </c>
      <c r="K5">
        <v>81</v>
      </c>
      <c r="L5">
        <f t="shared" si="0"/>
        <v>71.555555555555557</v>
      </c>
      <c r="M5">
        <f t="shared" si="1"/>
        <v>21.466666666666665</v>
      </c>
      <c r="N5">
        <v>71</v>
      </c>
      <c r="O5">
        <f t="shared" si="2"/>
        <v>14.200000000000001</v>
      </c>
      <c r="P5">
        <v>96</v>
      </c>
      <c r="Q5">
        <f t="shared" si="3"/>
        <v>48</v>
      </c>
      <c r="R5">
        <f t="shared" si="4"/>
        <v>83.666666666666657</v>
      </c>
      <c r="S5" s="4">
        <f t="shared" si="5"/>
        <v>83.666666666666657</v>
      </c>
      <c r="T5" t="s">
        <v>21</v>
      </c>
    </row>
    <row r="6" spans="1:20">
      <c r="A6" t="s">
        <v>68</v>
      </c>
      <c r="B6">
        <v>84</v>
      </c>
      <c r="C6">
        <v>72</v>
      </c>
      <c r="D6">
        <v>83</v>
      </c>
      <c r="E6">
        <v>61</v>
      </c>
      <c r="F6">
        <v>38</v>
      </c>
      <c r="G6">
        <v>90</v>
      </c>
      <c r="H6">
        <v>97</v>
      </c>
      <c r="I6">
        <v>54</v>
      </c>
      <c r="J6">
        <v>57</v>
      </c>
      <c r="K6">
        <v>67</v>
      </c>
      <c r="L6">
        <f t="shared" si="0"/>
        <v>73.888888888888886</v>
      </c>
      <c r="M6">
        <f t="shared" si="1"/>
        <v>22.166666666666664</v>
      </c>
      <c r="N6">
        <v>85</v>
      </c>
      <c r="O6">
        <f t="shared" si="2"/>
        <v>17</v>
      </c>
      <c r="P6">
        <v>90</v>
      </c>
      <c r="Q6">
        <f t="shared" si="3"/>
        <v>45</v>
      </c>
      <c r="R6">
        <f t="shared" si="4"/>
        <v>84.166666666666657</v>
      </c>
      <c r="S6" s="4">
        <f t="shared" si="5"/>
        <v>84.166666666666657</v>
      </c>
      <c r="T6" t="s">
        <v>21</v>
      </c>
    </row>
    <row r="8" spans="1:20">
      <c r="A8" s="1" t="s">
        <v>18</v>
      </c>
      <c r="B8">
        <f>AVERAGE(B2:B6)</f>
        <v>73.8</v>
      </c>
      <c r="C8">
        <f>AVERAGE(C2:C6)</f>
        <v>77.8</v>
      </c>
      <c r="D8">
        <f t="shared" ref="D8:S8" si="6">AVERAGE(D2:D6)</f>
        <v>70</v>
      </c>
      <c r="E8">
        <f t="shared" si="6"/>
        <v>64.400000000000006</v>
      </c>
      <c r="F8">
        <f t="shared" si="6"/>
        <v>61.6</v>
      </c>
      <c r="G8">
        <f t="shared" si="6"/>
        <v>67.599999999999994</v>
      </c>
      <c r="H8">
        <f t="shared" si="6"/>
        <v>69</v>
      </c>
      <c r="I8">
        <f t="shared" si="6"/>
        <v>75</v>
      </c>
      <c r="J8">
        <f t="shared" si="6"/>
        <v>60.8</v>
      </c>
      <c r="K8">
        <f t="shared" si="6"/>
        <v>76.8</v>
      </c>
      <c r="L8">
        <f t="shared" si="6"/>
        <v>72.955555555555549</v>
      </c>
      <c r="M8">
        <f t="shared" si="6"/>
        <v>21.886666666666667</v>
      </c>
      <c r="N8">
        <f t="shared" si="6"/>
        <v>80.2</v>
      </c>
      <c r="O8">
        <f t="shared" si="6"/>
        <v>16.04</v>
      </c>
      <c r="P8">
        <f t="shared" si="6"/>
        <v>86.4</v>
      </c>
      <c r="Q8">
        <f t="shared" si="6"/>
        <v>43.2</v>
      </c>
      <c r="R8">
        <f t="shared" si="6"/>
        <v>81.126666666666665</v>
      </c>
      <c r="S8" s="4">
        <f t="shared" si="6"/>
        <v>81.126666666666665</v>
      </c>
    </row>
    <row r="9" spans="1:20">
      <c r="A9" s="1" t="s">
        <v>19</v>
      </c>
      <c r="B9">
        <f>STDEVP(B2:B6)</f>
        <v>9.086253353280437</v>
      </c>
      <c r="C9">
        <f t="shared" ref="C9:S9" si="7">STDEVP(C2:C6)</f>
        <v>19.650954175306602</v>
      </c>
      <c r="D9">
        <f t="shared" si="7"/>
        <v>18.319388636087179</v>
      </c>
      <c r="E9">
        <f t="shared" si="7"/>
        <v>18.746733048720781</v>
      </c>
      <c r="F9">
        <f t="shared" si="7"/>
        <v>17.861690849412884</v>
      </c>
      <c r="G9">
        <f t="shared" si="7"/>
        <v>13.720058308913996</v>
      </c>
      <c r="H9">
        <f t="shared" si="7"/>
        <v>23.021728866442675</v>
      </c>
      <c r="I9">
        <f t="shared" si="7"/>
        <v>13.505554412907307</v>
      </c>
      <c r="J9">
        <f t="shared" si="7"/>
        <v>17.022338264762571</v>
      </c>
      <c r="K9">
        <f t="shared" si="7"/>
        <v>9.7857038581800548</v>
      </c>
      <c r="L9">
        <f t="shared" si="7"/>
        <v>1.0578337987032793</v>
      </c>
      <c r="M9">
        <f t="shared" si="7"/>
        <v>0.31735013961098396</v>
      </c>
      <c r="N9">
        <f t="shared" si="7"/>
        <v>11.232096865679177</v>
      </c>
      <c r="O9">
        <f t="shared" si="7"/>
        <v>2.2464193731358342</v>
      </c>
      <c r="P9">
        <f t="shared" si="7"/>
        <v>9.2649878575203761</v>
      </c>
      <c r="Q9">
        <f t="shared" si="7"/>
        <v>4.6324939287601881</v>
      </c>
      <c r="R9">
        <f t="shared" si="7"/>
        <v>4.6500370368895361</v>
      </c>
      <c r="S9" s="4">
        <f t="shared" si="7"/>
        <v>4.6500370368895361</v>
      </c>
    </row>
    <row r="11" spans="1:20">
      <c r="A11" s="1" t="s">
        <v>28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30</v>
      </c>
      <c r="N11">
        <v>100</v>
      </c>
      <c r="O11">
        <v>20</v>
      </c>
      <c r="P11">
        <v>100</v>
      </c>
      <c r="Q11">
        <v>50</v>
      </c>
      <c r="R11">
        <v>100</v>
      </c>
      <c r="S11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1"/>
  <sheetViews>
    <sheetView topLeftCell="E1" workbookViewId="0">
      <selection activeCell="L2" sqref="L2"/>
    </sheetView>
  </sheetViews>
  <sheetFormatPr defaultRowHeight="15"/>
  <cols>
    <col min="1" max="1" width="18.140625" bestFit="1" customWidth="1"/>
    <col min="2" max="10" width="12.140625" bestFit="1" customWidth="1"/>
    <col min="11" max="11" width="13.28515625" bestFit="1" customWidth="1"/>
    <col min="12" max="12" width="14.5703125" bestFit="1" customWidth="1"/>
    <col min="13" max="13" width="14.5703125" customWidth="1"/>
    <col min="15" max="15" width="10.7109375" bestFit="1" customWidth="1"/>
    <col min="17" max="17" width="11.140625" bestFit="1" customWidth="1"/>
    <col min="18" max="18" width="11.42578125" bestFit="1" customWidth="1"/>
    <col min="19" max="19" width="8.28515625" style="4" bestFit="1" customWidth="1"/>
    <col min="20" max="20" width="12.140625" bestFit="1" customWidth="1"/>
  </cols>
  <sheetData>
    <row r="1" spans="1:20" s="1" customFormat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41</v>
      </c>
      <c r="M1" s="2" t="s">
        <v>42</v>
      </c>
      <c r="N1" s="1" t="s">
        <v>1</v>
      </c>
      <c r="O1" s="1" t="s">
        <v>43</v>
      </c>
      <c r="P1" s="1" t="s">
        <v>40</v>
      </c>
      <c r="Q1" s="1" t="s">
        <v>44</v>
      </c>
      <c r="R1" s="1" t="s">
        <v>15</v>
      </c>
      <c r="S1" s="3" t="s">
        <v>16</v>
      </c>
      <c r="T1" s="1" t="s">
        <v>17</v>
      </c>
    </row>
    <row r="2" spans="1:20">
      <c r="A2" t="s">
        <v>69</v>
      </c>
      <c r="B2">
        <v>51</v>
      </c>
      <c r="C2">
        <v>58</v>
      </c>
      <c r="D2">
        <v>73</v>
      </c>
      <c r="E2">
        <v>66</v>
      </c>
      <c r="F2">
        <v>66</v>
      </c>
      <c r="G2">
        <v>85</v>
      </c>
      <c r="H2">
        <v>87</v>
      </c>
      <c r="I2">
        <v>93</v>
      </c>
      <c r="J2">
        <v>66</v>
      </c>
      <c r="K2">
        <v>89</v>
      </c>
      <c r="L2">
        <f>(SUM(B2:K2)-((SMALL(B2:K2,1)+SMALL(B2:K2,2))))/8</f>
        <v>78.125</v>
      </c>
      <c r="M2">
        <f>L2*0.3</f>
        <v>23.4375</v>
      </c>
      <c r="N2">
        <v>58</v>
      </c>
      <c r="O2">
        <f>N2*0.2</f>
        <v>11.600000000000001</v>
      </c>
      <c r="P2">
        <v>73</v>
      </c>
      <c r="Q2">
        <f>P2*0.5</f>
        <v>36.5</v>
      </c>
      <c r="R2">
        <f>M2+O2+Q2</f>
        <v>71.537499999999994</v>
      </c>
      <c r="S2" s="4">
        <f>(R2/100)*100</f>
        <v>71.537499999999994</v>
      </c>
      <c r="T2" t="s">
        <v>22</v>
      </c>
    </row>
    <row r="3" spans="1:20">
      <c r="A3" t="s">
        <v>70</v>
      </c>
      <c r="B3">
        <v>94</v>
      </c>
      <c r="C3">
        <v>68</v>
      </c>
      <c r="D3">
        <v>55</v>
      </c>
      <c r="E3">
        <v>71</v>
      </c>
      <c r="F3">
        <v>92</v>
      </c>
      <c r="G3">
        <v>94</v>
      </c>
      <c r="H3">
        <v>85</v>
      </c>
      <c r="I3">
        <v>60</v>
      </c>
      <c r="J3">
        <v>77</v>
      </c>
      <c r="K3">
        <v>84</v>
      </c>
      <c r="L3">
        <f t="shared" ref="L3:L6" si="0">(SUM(B3:K3)-((SMALL(B3:K3,1)+SMALL(B3:K3,2))))/8</f>
        <v>83.125</v>
      </c>
      <c r="M3">
        <f t="shared" ref="M3:M6" si="1">L3*0.3</f>
        <v>24.9375</v>
      </c>
      <c r="N3">
        <v>99</v>
      </c>
      <c r="O3">
        <f t="shared" ref="O3:O6" si="2">N3*0.2</f>
        <v>19.8</v>
      </c>
      <c r="P3">
        <v>97</v>
      </c>
      <c r="Q3">
        <f t="shared" ref="Q3:Q6" si="3">P3*0.5</f>
        <v>48.5</v>
      </c>
      <c r="R3">
        <f t="shared" ref="R3:R6" si="4">M3+O3+Q3</f>
        <v>93.237499999999997</v>
      </c>
      <c r="S3" s="4">
        <f t="shared" ref="S3:S6" si="5">(R3/100)*100</f>
        <v>93.237499999999997</v>
      </c>
      <c r="T3" t="s">
        <v>20</v>
      </c>
    </row>
    <row r="4" spans="1:20">
      <c r="A4" t="s">
        <v>71</v>
      </c>
      <c r="B4">
        <v>83</v>
      </c>
      <c r="C4">
        <v>87</v>
      </c>
      <c r="D4">
        <v>92</v>
      </c>
      <c r="E4">
        <v>91</v>
      </c>
      <c r="F4">
        <v>61</v>
      </c>
      <c r="G4">
        <v>89</v>
      </c>
      <c r="H4">
        <v>50</v>
      </c>
      <c r="I4">
        <v>75</v>
      </c>
      <c r="J4">
        <v>77</v>
      </c>
      <c r="K4">
        <v>83</v>
      </c>
      <c r="L4">
        <f t="shared" si="0"/>
        <v>84.625</v>
      </c>
      <c r="M4">
        <f t="shared" si="1"/>
        <v>25.387499999999999</v>
      </c>
      <c r="N4">
        <v>93</v>
      </c>
      <c r="O4">
        <f t="shared" si="2"/>
        <v>18.600000000000001</v>
      </c>
      <c r="P4">
        <v>79</v>
      </c>
      <c r="Q4">
        <f t="shared" si="3"/>
        <v>39.5</v>
      </c>
      <c r="R4">
        <f t="shared" si="4"/>
        <v>83.487499999999997</v>
      </c>
      <c r="S4" s="4">
        <f t="shared" si="5"/>
        <v>83.487499999999997</v>
      </c>
      <c r="T4" t="s">
        <v>21</v>
      </c>
    </row>
    <row r="5" spans="1:20">
      <c r="A5" t="s">
        <v>72</v>
      </c>
      <c r="B5">
        <v>97</v>
      </c>
      <c r="C5">
        <v>62</v>
      </c>
      <c r="D5">
        <v>91</v>
      </c>
      <c r="E5">
        <v>79</v>
      </c>
      <c r="F5">
        <v>82</v>
      </c>
      <c r="G5">
        <v>63</v>
      </c>
      <c r="H5">
        <v>93</v>
      </c>
      <c r="I5">
        <v>89</v>
      </c>
      <c r="J5">
        <v>98</v>
      </c>
      <c r="K5">
        <v>55</v>
      </c>
      <c r="L5">
        <f t="shared" si="0"/>
        <v>86.5</v>
      </c>
      <c r="M5">
        <f t="shared" si="1"/>
        <v>25.95</v>
      </c>
      <c r="N5">
        <v>62</v>
      </c>
      <c r="O5">
        <f t="shared" si="2"/>
        <v>12.4</v>
      </c>
      <c r="P5">
        <v>84</v>
      </c>
      <c r="Q5">
        <f t="shared" si="3"/>
        <v>42</v>
      </c>
      <c r="R5">
        <f t="shared" si="4"/>
        <v>80.349999999999994</v>
      </c>
      <c r="S5" s="4">
        <f t="shared" si="5"/>
        <v>80.349999999999994</v>
      </c>
      <c r="T5" t="s">
        <v>21</v>
      </c>
    </row>
    <row r="6" spans="1:20">
      <c r="A6" t="s">
        <v>73</v>
      </c>
      <c r="B6">
        <v>77</v>
      </c>
      <c r="C6">
        <v>90</v>
      </c>
      <c r="D6">
        <v>78</v>
      </c>
      <c r="E6">
        <v>61</v>
      </c>
      <c r="F6">
        <v>72</v>
      </c>
      <c r="G6">
        <v>91</v>
      </c>
      <c r="H6">
        <v>87</v>
      </c>
      <c r="I6">
        <v>91</v>
      </c>
      <c r="J6">
        <v>60</v>
      </c>
      <c r="K6">
        <v>51</v>
      </c>
      <c r="L6">
        <f t="shared" si="0"/>
        <v>80.875</v>
      </c>
      <c r="M6">
        <f t="shared" si="1"/>
        <v>24.262499999999999</v>
      </c>
      <c r="N6">
        <v>93</v>
      </c>
      <c r="O6">
        <f t="shared" si="2"/>
        <v>18.600000000000001</v>
      </c>
      <c r="P6">
        <v>63</v>
      </c>
      <c r="Q6">
        <f t="shared" si="3"/>
        <v>31.5</v>
      </c>
      <c r="R6">
        <f t="shared" si="4"/>
        <v>74.362499999999997</v>
      </c>
      <c r="S6" s="4">
        <f t="shared" si="5"/>
        <v>74.362499999999997</v>
      </c>
      <c r="T6" t="s">
        <v>22</v>
      </c>
    </row>
    <row r="8" spans="1:20">
      <c r="A8" s="1" t="s">
        <v>18</v>
      </c>
      <c r="B8">
        <f>AVERAGE(B2:B6)</f>
        <v>80.400000000000006</v>
      </c>
      <c r="C8">
        <f>AVERAGE(C2:C6)</f>
        <v>73</v>
      </c>
      <c r="D8">
        <f t="shared" ref="D8:S8" si="6">AVERAGE(D2:D6)</f>
        <v>77.8</v>
      </c>
      <c r="E8">
        <f t="shared" si="6"/>
        <v>73.599999999999994</v>
      </c>
      <c r="F8">
        <f t="shared" si="6"/>
        <v>74.599999999999994</v>
      </c>
      <c r="G8">
        <f t="shared" si="6"/>
        <v>84.4</v>
      </c>
      <c r="H8">
        <f t="shared" si="6"/>
        <v>80.400000000000006</v>
      </c>
      <c r="I8">
        <f t="shared" si="6"/>
        <v>81.599999999999994</v>
      </c>
      <c r="J8">
        <f t="shared" si="6"/>
        <v>75.599999999999994</v>
      </c>
      <c r="K8">
        <f t="shared" si="6"/>
        <v>72.400000000000006</v>
      </c>
      <c r="L8">
        <f t="shared" si="6"/>
        <v>82.65</v>
      </c>
      <c r="M8">
        <f t="shared" si="6"/>
        <v>24.795000000000002</v>
      </c>
      <c r="N8">
        <f t="shared" si="6"/>
        <v>81</v>
      </c>
      <c r="O8">
        <f t="shared" si="6"/>
        <v>16.2</v>
      </c>
      <c r="P8">
        <f t="shared" si="6"/>
        <v>79.2</v>
      </c>
      <c r="Q8">
        <f t="shared" si="6"/>
        <v>39.6</v>
      </c>
      <c r="R8">
        <f t="shared" si="6"/>
        <v>80.594999999999999</v>
      </c>
      <c r="S8" s="4">
        <f t="shared" si="6"/>
        <v>80.594999999999999</v>
      </c>
    </row>
    <row r="9" spans="1:20">
      <c r="A9" s="1" t="s">
        <v>19</v>
      </c>
      <c r="B9">
        <f>STDEVP(B2:B6)</f>
        <v>16.390240998838301</v>
      </c>
      <c r="C9">
        <f t="shared" ref="C9:S9" si="7">STDEVP(C2:C6)</f>
        <v>13.0843417870369</v>
      </c>
      <c r="D9">
        <f t="shared" si="7"/>
        <v>13.555810562264433</v>
      </c>
      <c r="E9">
        <f t="shared" si="7"/>
        <v>10.537551897855593</v>
      </c>
      <c r="F9">
        <f t="shared" si="7"/>
        <v>11.16422858956229</v>
      </c>
      <c r="G9">
        <f t="shared" si="7"/>
        <v>11.092339699089639</v>
      </c>
      <c r="H9">
        <f t="shared" si="7"/>
        <v>15.43502510525979</v>
      </c>
      <c r="I9">
        <f t="shared" si="7"/>
        <v>12.515590277729611</v>
      </c>
      <c r="J9">
        <f t="shared" si="7"/>
        <v>12.97073629367277</v>
      </c>
      <c r="K9">
        <f t="shared" si="7"/>
        <v>16.019987515600629</v>
      </c>
      <c r="L9">
        <f t="shared" si="7"/>
        <v>2.9180472922829743</v>
      </c>
      <c r="M9">
        <f t="shared" si="7"/>
        <v>0.87541418768489221</v>
      </c>
      <c r="N9">
        <f t="shared" si="7"/>
        <v>17.332051234634633</v>
      </c>
      <c r="O9">
        <f t="shared" si="7"/>
        <v>3.4664102469269356</v>
      </c>
      <c r="P9">
        <f t="shared" si="7"/>
        <v>11.320777358467925</v>
      </c>
      <c r="Q9">
        <f t="shared" si="7"/>
        <v>5.6603886792339626</v>
      </c>
      <c r="R9">
        <f t="shared" si="7"/>
        <v>7.6044953810229918</v>
      </c>
      <c r="S9" s="4">
        <f t="shared" si="7"/>
        <v>7.6044953810229918</v>
      </c>
    </row>
    <row r="11" spans="1:20">
      <c r="A11" s="1" t="s">
        <v>28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30</v>
      </c>
      <c r="N11">
        <v>100</v>
      </c>
      <c r="O11">
        <v>20</v>
      </c>
      <c r="P11">
        <v>100</v>
      </c>
      <c r="Q11">
        <v>50</v>
      </c>
      <c r="R11">
        <v>100</v>
      </c>
      <c r="S11" s="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H3" sqref="H3"/>
    </sheetView>
  </sheetViews>
  <sheetFormatPr defaultRowHeight="15"/>
  <cols>
    <col min="1" max="1" width="18.140625" bestFit="1" customWidth="1"/>
    <col min="2" max="4" width="12.140625" bestFit="1" customWidth="1"/>
    <col min="5" max="5" width="13.5703125" bestFit="1" customWidth="1"/>
    <col min="6" max="6" width="12.140625" bestFit="1" customWidth="1"/>
    <col min="7" max="7" width="11.42578125" bestFit="1" customWidth="1"/>
    <col min="8" max="8" width="8.28515625" style="4" bestFit="1" customWidth="1"/>
    <col min="9" max="9" width="12.140625" bestFit="1" customWidth="1"/>
  </cols>
  <sheetData>
    <row r="1" spans="1:9" s="1" customFormat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14</v>
      </c>
      <c r="G1" s="1" t="s">
        <v>15</v>
      </c>
      <c r="H1" s="3" t="s">
        <v>16</v>
      </c>
      <c r="I1" s="1" t="s">
        <v>17</v>
      </c>
    </row>
    <row r="2" spans="1:9">
      <c r="A2" t="s">
        <v>74</v>
      </c>
      <c r="B2">
        <v>64</v>
      </c>
      <c r="C2">
        <v>88</v>
      </c>
      <c r="D2">
        <v>88</v>
      </c>
      <c r="E2">
        <f>AVERAGE(B2:D2)</f>
        <v>80</v>
      </c>
      <c r="F2">
        <v>93</v>
      </c>
      <c r="G2" s="4">
        <f>H2</f>
        <v>86.5</v>
      </c>
      <c r="H2" s="4">
        <f t="shared" ref="H2:H6" si="0">IF(F2&gt;E2,(E2*0.5)+(F2*0.5),(E2*(2/3))+(F2*(1/3)))</f>
        <v>86.5</v>
      </c>
      <c r="I2" t="s">
        <v>21</v>
      </c>
    </row>
    <row r="3" spans="1:9">
      <c r="A3" t="s">
        <v>75</v>
      </c>
      <c r="B3">
        <v>63</v>
      </c>
      <c r="C3">
        <v>71</v>
      </c>
      <c r="D3">
        <v>67</v>
      </c>
      <c r="E3">
        <f t="shared" ref="E3:E6" si="1">AVERAGE(B3:D3)</f>
        <v>67</v>
      </c>
      <c r="F3">
        <v>86</v>
      </c>
      <c r="G3" s="4">
        <f t="shared" ref="G3:G6" si="2">H3</f>
        <v>76.5</v>
      </c>
      <c r="H3" s="4">
        <f t="shared" si="0"/>
        <v>76.5</v>
      </c>
      <c r="I3" t="s">
        <v>22</v>
      </c>
    </row>
    <row r="4" spans="1:9">
      <c r="A4" t="s">
        <v>76</v>
      </c>
      <c r="B4">
        <v>96</v>
      </c>
      <c r="C4">
        <v>82</v>
      </c>
      <c r="D4">
        <v>79</v>
      </c>
      <c r="E4">
        <f t="shared" si="1"/>
        <v>85.666666666666671</v>
      </c>
      <c r="F4">
        <v>92</v>
      </c>
      <c r="G4" s="4">
        <f t="shared" si="2"/>
        <v>88.833333333333343</v>
      </c>
      <c r="H4" s="4">
        <f t="shared" si="0"/>
        <v>88.833333333333343</v>
      </c>
      <c r="I4" t="s">
        <v>21</v>
      </c>
    </row>
    <row r="5" spans="1:9">
      <c r="A5" t="s">
        <v>77</v>
      </c>
      <c r="B5">
        <v>78</v>
      </c>
      <c r="C5">
        <v>61</v>
      </c>
      <c r="D5">
        <v>68</v>
      </c>
      <c r="E5">
        <f t="shared" si="1"/>
        <v>69</v>
      </c>
      <c r="F5">
        <v>66</v>
      </c>
      <c r="G5" s="4">
        <f t="shared" si="2"/>
        <v>68</v>
      </c>
      <c r="H5" s="4">
        <f t="shared" si="0"/>
        <v>68</v>
      </c>
      <c r="I5" t="s">
        <v>23</v>
      </c>
    </row>
    <row r="6" spans="1:9">
      <c r="A6" t="s">
        <v>78</v>
      </c>
      <c r="B6">
        <v>60</v>
      </c>
      <c r="C6">
        <v>86</v>
      </c>
      <c r="D6">
        <v>99</v>
      </c>
      <c r="E6">
        <f t="shared" si="1"/>
        <v>81.666666666666671</v>
      </c>
      <c r="F6">
        <v>75</v>
      </c>
      <c r="G6" s="4">
        <f t="shared" si="2"/>
        <v>79.444444444444443</v>
      </c>
      <c r="H6" s="4">
        <f t="shared" si="0"/>
        <v>79.444444444444443</v>
      </c>
      <c r="I6" t="s">
        <v>22</v>
      </c>
    </row>
    <row r="8" spans="1:9">
      <c r="A8" s="1" t="s">
        <v>18</v>
      </c>
      <c r="B8">
        <f>AVERAGE(B2:B6)</f>
        <v>72.2</v>
      </c>
      <c r="C8">
        <f>AVERAGE(C2:C6)</f>
        <v>77.599999999999994</v>
      </c>
      <c r="D8">
        <f t="shared" ref="D8:H8" si="3">AVERAGE(D2:D6)</f>
        <v>80.2</v>
      </c>
      <c r="E8">
        <f t="shared" si="3"/>
        <v>76.666666666666671</v>
      </c>
      <c r="F8">
        <f t="shared" si="3"/>
        <v>82.4</v>
      </c>
      <c r="G8">
        <f t="shared" si="3"/>
        <v>79.855555555555569</v>
      </c>
      <c r="H8">
        <f t="shared" si="3"/>
        <v>79.855555555555569</v>
      </c>
    </row>
    <row r="9" spans="1:9">
      <c r="A9" s="1" t="s">
        <v>19</v>
      </c>
      <c r="B9">
        <f>STDEVP(B2:B6)</f>
        <v>13.422369388450013</v>
      </c>
      <c r="C9">
        <f t="shared" ref="C9:H9" si="4">STDEVP(C2:C6)</f>
        <v>10.170545708072895</v>
      </c>
      <c r="D9">
        <f t="shared" si="4"/>
        <v>12.155657119218196</v>
      </c>
      <c r="E9">
        <f t="shared" si="4"/>
        <v>7.3393914370788735</v>
      </c>
      <c r="F9">
        <f t="shared" si="4"/>
        <v>10.403845442911962</v>
      </c>
      <c r="G9">
        <f t="shared" si="4"/>
        <v>7.4395174408752123</v>
      </c>
      <c r="H9" s="4">
        <f t="shared" si="4"/>
        <v>7.4395174408752123</v>
      </c>
    </row>
    <row r="11" spans="1:9">
      <c r="A11" s="1" t="s">
        <v>28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Our Class</vt:lpstr>
      <vt:lpstr>Class 2</vt:lpstr>
      <vt:lpstr>Class 3</vt:lpstr>
      <vt:lpstr>Class 4</vt:lpstr>
      <vt:lpstr>Class 5</vt:lpstr>
      <vt:lpstr>Class 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2011-10-04T19:31:35Z</dcterms:created>
  <dcterms:modified xsi:type="dcterms:W3CDTF">2011-10-27T18:47:41Z</dcterms:modified>
</cp:coreProperties>
</file>