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 defaultThemeVersion="124226"/>
  <bookViews>
    <workbookView xWindow="480" yWindow="75" windowWidth="18195" windowHeight="11760" activeTab="1"/>
  </bookViews>
  <sheets>
    <sheet name="Scores" sheetId="1" r:id="rId1"/>
    <sheet name="Relationship Between Variables" sheetId="2" r:id="rId2"/>
    <sheet name="Worksheet 1" sheetId="3" r:id="rId3"/>
  </sheets>
  <calcPr calcId="125725"/>
</workbook>
</file>

<file path=xl/calcChain.xml><?xml version="1.0" encoding="utf-8"?>
<calcChain xmlns="http://schemas.openxmlformats.org/spreadsheetml/2006/main">
  <c r="A36" i="2"/>
  <c r="A33"/>
  <c r="A30" l="1"/>
  <c r="C26" i="1"/>
  <c r="B26"/>
  <c r="B27"/>
  <c r="B25"/>
  <c r="B24"/>
</calcChain>
</file>

<file path=xl/sharedStrings.xml><?xml version="1.0" encoding="utf-8"?>
<sst xmlns="http://schemas.openxmlformats.org/spreadsheetml/2006/main" count="15" uniqueCount="15">
  <si>
    <t>Scores</t>
  </si>
  <si>
    <t>Count=</t>
  </si>
  <si>
    <t>Average=</t>
  </si>
  <si>
    <t>Sort</t>
  </si>
  <si>
    <t>Median=</t>
  </si>
  <si>
    <t>Quartile=</t>
  </si>
  <si>
    <t>Standard D.=</t>
  </si>
  <si>
    <t>Relationship Between Variables</t>
  </si>
  <si>
    <t>Hours Sleeping</t>
  </si>
  <si>
    <t>Hours Studying</t>
  </si>
  <si>
    <t>GPA</t>
  </si>
  <si>
    <t>Correlation Hours Sleeping vs. Hours studying</t>
  </si>
  <si>
    <t>Correlation Hours Sleeping vs. GPA</t>
  </si>
  <si>
    <t>Correlation Hours Studying vs. GPA</t>
  </si>
  <si>
    <t>20/20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</si>
</sst>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/>
    <xf numFmtId="0" fontId="3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Hours</a:t>
            </a:r>
            <a:r>
              <a:rPr lang="en-US" baseline="0"/>
              <a:t> Sleeping vs. Hours Studying</a:t>
            </a:r>
            <a:endParaRPr lang="en-US"/>
          </a:p>
        </c:rich>
      </c:tx>
      <c:layout/>
    </c:title>
    <c:plotArea>
      <c:layout/>
      <c:scatterChart>
        <c:scatterStyle val="lineMarker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-0.28107445370890038"/>
                  <c:y val="0.12585051868516425"/>
                </c:manualLayout>
              </c:layout>
              <c:numFmt formatCode="General" sourceLinked="0"/>
            </c:trendlineLbl>
          </c:trendline>
          <c:xVal>
            <c:numRef>
              <c:f>'Relationship Between Variables'!$A$3:$A$12</c:f>
              <c:numCache>
                <c:formatCode>General</c:formatCode>
                <c:ptCount val="10"/>
                <c:pt idx="0">
                  <c:v>6.3</c:v>
                </c:pt>
                <c:pt idx="1">
                  <c:v>8.6999999999999993</c:v>
                </c:pt>
                <c:pt idx="2">
                  <c:v>8.5</c:v>
                </c:pt>
                <c:pt idx="3">
                  <c:v>7.2</c:v>
                </c:pt>
                <c:pt idx="4">
                  <c:v>6.2</c:v>
                </c:pt>
                <c:pt idx="5">
                  <c:v>7.3</c:v>
                </c:pt>
                <c:pt idx="6">
                  <c:v>7.1</c:v>
                </c:pt>
                <c:pt idx="7">
                  <c:v>7.6</c:v>
                </c:pt>
                <c:pt idx="8">
                  <c:v>6.9</c:v>
                </c:pt>
                <c:pt idx="9">
                  <c:v>6.7</c:v>
                </c:pt>
              </c:numCache>
            </c:numRef>
          </c:xVal>
          <c:yVal>
            <c:numRef>
              <c:f>'Relationship Between Variables'!$B$3:$B$12</c:f>
              <c:numCache>
                <c:formatCode>General</c:formatCode>
                <c:ptCount val="10"/>
                <c:pt idx="0">
                  <c:v>1.2</c:v>
                </c:pt>
                <c:pt idx="1">
                  <c:v>1.5</c:v>
                </c:pt>
                <c:pt idx="2">
                  <c:v>3.4</c:v>
                </c:pt>
                <c:pt idx="3">
                  <c:v>2.2999999999999998</c:v>
                </c:pt>
                <c:pt idx="4">
                  <c:v>4.2</c:v>
                </c:pt>
                <c:pt idx="5">
                  <c:v>1.4</c:v>
                </c:pt>
                <c:pt idx="6">
                  <c:v>2.2000000000000002</c:v>
                </c:pt>
                <c:pt idx="7">
                  <c:v>2</c:v>
                </c:pt>
                <c:pt idx="8">
                  <c:v>2.7</c:v>
                </c:pt>
                <c:pt idx="9">
                  <c:v>0.8</c:v>
                </c:pt>
              </c:numCache>
            </c:numRef>
          </c:yVal>
        </c:ser>
        <c:axId val="100800768"/>
        <c:axId val="100807040"/>
      </c:scatterChart>
      <c:valAx>
        <c:axId val="10080076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Hours Sleeping</a:t>
                </a:r>
              </a:p>
            </c:rich>
          </c:tx>
          <c:layout/>
        </c:title>
        <c:numFmt formatCode="General" sourceLinked="1"/>
        <c:tickLblPos val="nextTo"/>
        <c:crossAx val="100807040"/>
        <c:crosses val="autoZero"/>
        <c:crossBetween val="midCat"/>
      </c:valAx>
      <c:valAx>
        <c:axId val="100807040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Hours Studying</a:t>
                </a:r>
              </a:p>
            </c:rich>
          </c:tx>
          <c:layout/>
        </c:title>
        <c:numFmt formatCode="General" sourceLinked="1"/>
        <c:tickLblPos val="nextTo"/>
        <c:crossAx val="100800768"/>
        <c:crosses val="autoZero"/>
        <c:crossBetween val="midCat"/>
      </c:valAx>
    </c:plotArea>
    <c:plotVisOnly val="1"/>
    <c:dispBlanksAs val="gap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Hours Studying vs. GPA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12305847185768451"/>
                  <c:y val="0.34644371320616585"/>
                </c:manualLayout>
              </c:layout>
              <c:numFmt formatCode="General" sourceLinked="0"/>
            </c:trendlineLbl>
          </c:trendline>
          <c:xVal>
            <c:numRef>
              <c:f>'Relationship Between Variables'!$B$3:$B$12</c:f>
              <c:numCache>
                <c:formatCode>General</c:formatCode>
                <c:ptCount val="10"/>
                <c:pt idx="0">
                  <c:v>1.2</c:v>
                </c:pt>
                <c:pt idx="1">
                  <c:v>1.5</c:v>
                </c:pt>
                <c:pt idx="2">
                  <c:v>3.4</c:v>
                </c:pt>
                <c:pt idx="3">
                  <c:v>2.2999999999999998</c:v>
                </c:pt>
                <c:pt idx="4">
                  <c:v>4.2</c:v>
                </c:pt>
                <c:pt idx="5">
                  <c:v>1.4</c:v>
                </c:pt>
                <c:pt idx="6">
                  <c:v>2.2000000000000002</c:v>
                </c:pt>
                <c:pt idx="7">
                  <c:v>2</c:v>
                </c:pt>
                <c:pt idx="8">
                  <c:v>2.7</c:v>
                </c:pt>
                <c:pt idx="9">
                  <c:v>0.8</c:v>
                </c:pt>
              </c:numCache>
            </c:numRef>
          </c:xVal>
          <c:yVal>
            <c:numRef>
              <c:f>'Relationship Between Variables'!$C$3:$C$12</c:f>
              <c:numCache>
                <c:formatCode>General</c:formatCode>
                <c:ptCount val="10"/>
                <c:pt idx="0">
                  <c:v>2.7</c:v>
                </c:pt>
                <c:pt idx="1">
                  <c:v>2.9</c:v>
                </c:pt>
                <c:pt idx="2">
                  <c:v>3.9</c:v>
                </c:pt>
                <c:pt idx="3">
                  <c:v>3.7</c:v>
                </c:pt>
                <c:pt idx="4">
                  <c:v>4</c:v>
                </c:pt>
                <c:pt idx="5">
                  <c:v>3</c:v>
                </c:pt>
                <c:pt idx="6">
                  <c:v>3.1</c:v>
                </c:pt>
                <c:pt idx="7">
                  <c:v>3.2</c:v>
                </c:pt>
                <c:pt idx="8">
                  <c:v>3.5</c:v>
                </c:pt>
                <c:pt idx="9">
                  <c:v>2.4</c:v>
                </c:pt>
              </c:numCache>
            </c:numRef>
          </c:yVal>
        </c:ser>
        <c:axId val="100844288"/>
        <c:axId val="100846208"/>
      </c:scatterChart>
      <c:valAx>
        <c:axId val="10084428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Hours Studying</a:t>
                </a:r>
              </a:p>
            </c:rich>
          </c:tx>
          <c:layout/>
        </c:title>
        <c:numFmt formatCode="General" sourceLinked="1"/>
        <c:tickLblPos val="nextTo"/>
        <c:crossAx val="100846208"/>
        <c:crosses val="autoZero"/>
        <c:crossBetween val="midCat"/>
      </c:valAx>
      <c:valAx>
        <c:axId val="100846208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GPA</a:t>
                </a:r>
              </a:p>
            </c:rich>
          </c:tx>
          <c:layout/>
        </c:title>
        <c:numFmt formatCode="General" sourceLinked="1"/>
        <c:tickLblPos val="nextTo"/>
        <c:crossAx val="100844288"/>
        <c:crosses val="autoZero"/>
        <c:crossBetween val="midCat"/>
      </c:valAx>
    </c:plotArea>
    <c:plotVisOnly val="1"/>
    <c:dispBlanksAs val="gap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Hours Sleeping vs. GPA</a:t>
            </a:r>
          </a:p>
        </c:rich>
      </c:tx>
      <c:layout>
        <c:manualLayout>
          <c:xMode val="edge"/>
          <c:yMode val="edge"/>
          <c:x val="0.25448600174978153"/>
          <c:y val="2.7777777777777821E-2"/>
        </c:manualLayout>
      </c:layout>
    </c:title>
    <c:plotArea>
      <c:layout/>
      <c:scatterChart>
        <c:scatterStyle val="lineMarker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1.9255468066491688E-2"/>
                  <c:y val="0.30763888888888913"/>
                </c:manualLayout>
              </c:layout>
              <c:numFmt formatCode="General" sourceLinked="0"/>
            </c:trendlineLbl>
          </c:trendline>
          <c:trendline>
            <c:trendlineType val="linear"/>
          </c:trendline>
          <c:xVal>
            <c:numRef>
              <c:f>'Relationship Between Variables'!$A$3:$A$12</c:f>
              <c:numCache>
                <c:formatCode>General</c:formatCode>
                <c:ptCount val="10"/>
                <c:pt idx="0">
                  <c:v>6.3</c:v>
                </c:pt>
                <c:pt idx="1">
                  <c:v>8.6999999999999993</c:v>
                </c:pt>
                <c:pt idx="2">
                  <c:v>8.5</c:v>
                </c:pt>
                <c:pt idx="3">
                  <c:v>7.2</c:v>
                </c:pt>
                <c:pt idx="4">
                  <c:v>6.2</c:v>
                </c:pt>
                <c:pt idx="5">
                  <c:v>7.3</c:v>
                </c:pt>
                <c:pt idx="6">
                  <c:v>7.1</c:v>
                </c:pt>
                <c:pt idx="7">
                  <c:v>7.6</c:v>
                </c:pt>
                <c:pt idx="8">
                  <c:v>6.9</c:v>
                </c:pt>
                <c:pt idx="9">
                  <c:v>6.7</c:v>
                </c:pt>
              </c:numCache>
            </c:numRef>
          </c:xVal>
          <c:yVal>
            <c:numRef>
              <c:f>'Relationship Between Variables'!$C$3:$C$12</c:f>
              <c:numCache>
                <c:formatCode>General</c:formatCode>
                <c:ptCount val="10"/>
                <c:pt idx="0">
                  <c:v>2.7</c:v>
                </c:pt>
                <c:pt idx="1">
                  <c:v>2.9</c:v>
                </c:pt>
                <c:pt idx="2">
                  <c:v>3.9</c:v>
                </c:pt>
                <c:pt idx="3">
                  <c:v>3.7</c:v>
                </c:pt>
                <c:pt idx="4">
                  <c:v>4</c:v>
                </c:pt>
                <c:pt idx="5">
                  <c:v>3</c:v>
                </c:pt>
                <c:pt idx="6">
                  <c:v>3.1</c:v>
                </c:pt>
                <c:pt idx="7">
                  <c:v>3.2</c:v>
                </c:pt>
                <c:pt idx="8">
                  <c:v>3.5</c:v>
                </c:pt>
                <c:pt idx="9">
                  <c:v>2.4</c:v>
                </c:pt>
              </c:numCache>
            </c:numRef>
          </c:yVal>
        </c:ser>
        <c:axId val="102330368"/>
        <c:axId val="102332288"/>
      </c:scatterChart>
      <c:valAx>
        <c:axId val="10233036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Hours Sleeping</a:t>
                </a:r>
              </a:p>
            </c:rich>
          </c:tx>
          <c:layout/>
        </c:title>
        <c:numFmt formatCode="General" sourceLinked="1"/>
        <c:tickLblPos val="nextTo"/>
        <c:crossAx val="102332288"/>
        <c:crosses val="autoZero"/>
        <c:crossBetween val="midCat"/>
      </c:valAx>
      <c:valAx>
        <c:axId val="102332288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GPA</a:t>
                </a:r>
              </a:p>
            </c:rich>
          </c:tx>
          <c:layout/>
        </c:title>
        <c:numFmt formatCode="General" sourceLinked="1"/>
        <c:tickLblPos val="nextTo"/>
        <c:crossAx val="102330368"/>
        <c:crosses val="autoZero"/>
        <c:crossBetween val="midCat"/>
      </c:valAx>
    </c:plotArea>
    <c:plotVisOnly val="1"/>
    <c:dispBlanksAs val="gap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314324</xdr:colOff>
      <xdr:row>0</xdr:row>
      <xdr:rowOff>66675</xdr:rowOff>
    </xdr:from>
    <xdr:to>
      <xdr:col>11</xdr:col>
      <xdr:colOff>428625</xdr:colOff>
      <xdr:row>12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523875</xdr:colOff>
      <xdr:row>12</xdr:row>
      <xdr:rowOff>185737</xdr:rowOff>
    </xdr:from>
    <xdr:to>
      <xdr:col>13</xdr:col>
      <xdr:colOff>371475</xdr:colOff>
      <xdr:row>27</xdr:row>
      <xdr:rowOff>38100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95250</xdr:colOff>
      <xdr:row>12</xdr:row>
      <xdr:rowOff>147637</xdr:rowOff>
    </xdr:from>
    <xdr:to>
      <xdr:col>6</xdr:col>
      <xdr:colOff>371475</xdr:colOff>
      <xdr:row>27</xdr:row>
      <xdr:rowOff>33337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7"/>
  <sheetViews>
    <sheetView workbookViewId="0">
      <selection activeCell="C30" sqref="C30"/>
    </sheetView>
  </sheetViews>
  <sheetFormatPr defaultRowHeight="15"/>
  <cols>
    <col min="1" max="1" width="12.140625" customWidth="1"/>
  </cols>
  <sheetData>
    <row r="1" spans="1:3">
      <c r="A1" t="s">
        <v>0</v>
      </c>
      <c r="C1" t="s">
        <v>3</v>
      </c>
    </row>
    <row r="2" spans="1:3">
      <c r="A2">
        <v>70</v>
      </c>
      <c r="C2">
        <v>22</v>
      </c>
    </row>
    <row r="3" spans="1:3">
      <c r="A3">
        <v>32</v>
      </c>
      <c r="C3">
        <v>25</v>
      </c>
    </row>
    <row r="4" spans="1:3">
      <c r="A4">
        <v>56</v>
      </c>
      <c r="C4">
        <v>29</v>
      </c>
    </row>
    <row r="5" spans="1:3">
      <c r="A5">
        <v>73</v>
      </c>
      <c r="C5">
        <v>32</v>
      </c>
    </row>
    <row r="6" spans="1:3">
      <c r="A6">
        <v>55</v>
      </c>
      <c r="C6">
        <v>51</v>
      </c>
    </row>
    <row r="7" spans="1:3">
      <c r="A7">
        <v>71</v>
      </c>
      <c r="C7">
        <v>55</v>
      </c>
    </row>
    <row r="8" spans="1:3">
      <c r="A8">
        <v>60</v>
      </c>
      <c r="C8">
        <v>55</v>
      </c>
    </row>
    <row r="9" spans="1:3">
      <c r="A9">
        <v>63</v>
      </c>
      <c r="C9">
        <v>56</v>
      </c>
    </row>
    <row r="10" spans="1:3">
      <c r="A10">
        <v>67</v>
      </c>
      <c r="C10">
        <v>60</v>
      </c>
    </row>
    <row r="11" spans="1:3">
      <c r="A11">
        <v>29</v>
      </c>
      <c r="C11">
        <v>63</v>
      </c>
    </row>
    <row r="12" spans="1:3">
      <c r="A12">
        <v>65</v>
      </c>
      <c r="C12">
        <v>63</v>
      </c>
    </row>
    <row r="13" spans="1:3">
      <c r="A13">
        <v>63</v>
      </c>
      <c r="C13">
        <v>65</v>
      </c>
    </row>
    <row r="14" spans="1:3">
      <c r="A14">
        <v>22</v>
      </c>
      <c r="C14">
        <v>66</v>
      </c>
    </row>
    <row r="15" spans="1:3">
      <c r="A15">
        <v>25</v>
      </c>
      <c r="C15">
        <v>67</v>
      </c>
    </row>
    <row r="16" spans="1:3">
      <c r="A16">
        <v>72</v>
      </c>
      <c r="C16">
        <v>70</v>
      </c>
    </row>
    <row r="17" spans="1:3">
      <c r="A17">
        <v>55</v>
      </c>
      <c r="C17">
        <v>71</v>
      </c>
    </row>
    <row r="18" spans="1:3">
      <c r="A18">
        <v>66</v>
      </c>
      <c r="C18">
        <v>72</v>
      </c>
    </row>
    <row r="19" spans="1:3">
      <c r="A19">
        <v>51</v>
      </c>
      <c r="C19">
        <v>73</v>
      </c>
    </row>
    <row r="23" spans="1:3">
      <c r="A23" t="s">
        <v>1</v>
      </c>
      <c r="B23">
        <v>18</v>
      </c>
    </row>
    <row r="24" spans="1:3">
      <c r="A24" t="s">
        <v>2</v>
      </c>
      <c r="B24">
        <f>AVERAGE(A2:A19)</f>
        <v>55.277777777777779</v>
      </c>
    </row>
    <row r="25" spans="1:3">
      <c r="A25" t="s">
        <v>4</v>
      </c>
      <c r="B25">
        <f>MEDIAN(A3:A20)</f>
        <v>60</v>
      </c>
    </row>
    <row r="26" spans="1:3">
      <c r="A26" t="s">
        <v>5</v>
      </c>
      <c r="B26">
        <f>QUARTILE(A2:A19,1)</f>
        <v>52</v>
      </c>
      <c r="C26">
        <f>QUARTILE(C2:C19,3)</f>
        <v>66.75</v>
      </c>
    </row>
    <row r="27" spans="1:3">
      <c r="A27" t="s">
        <v>6</v>
      </c>
      <c r="B27">
        <f>STDEVP(A2:A19)</f>
        <v>16.366651580290249</v>
      </c>
    </row>
  </sheetData>
  <sortState ref="C2:C19">
    <sortCondition ref="C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tabSelected="1" workbookViewId="0">
      <selection activeCell="B38" sqref="B38"/>
    </sheetView>
  </sheetViews>
  <sheetFormatPr defaultRowHeight="15"/>
  <cols>
    <col min="1" max="1" width="13.85546875" customWidth="1"/>
    <col min="2" max="2" width="14" customWidth="1"/>
  </cols>
  <sheetData>
    <row r="1" spans="1:8" ht="21">
      <c r="A1" s="4" t="s">
        <v>7</v>
      </c>
      <c r="B1" s="4"/>
      <c r="C1" s="4"/>
      <c r="D1" s="4"/>
      <c r="E1" s="2"/>
      <c r="F1" s="2"/>
      <c r="G1" s="2"/>
      <c r="H1" s="2"/>
    </row>
    <row r="2" spans="1:8">
      <c r="A2" s="1" t="s">
        <v>8</v>
      </c>
      <c r="B2" s="1" t="s">
        <v>9</v>
      </c>
      <c r="C2" s="1" t="s">
        <v>10</v>
      </c>
    </row>
    <row r="3" spans="1:8">
      <c r="A3">
        <v>6.3</v>
      </c>
      <c r="B3">
        <v>1.2</v>
      </c>
      <c r="C3">
        <v>2.7</v>
      </c>
    </row>
    <row r="4" spans="1:8">
      <c r="A4">
        <v>8.6999999999999993</v>
      </c>
      <c r="B4">
        <v>1.5</v>
      </c>
      <c r="C4">
        <v>2.9</v>
      </c>
    </row>
    <row r="5" spans="1:8">
      <c r="A5">
        <v>8.5</v>
      </c>
      <c r="B5">
        <v>3.4</v>
      </c>
      <c r="C5">
        <v>3.9</v>
      </c>
    </row>
    <row r="6" spans="1:8">
      <c r="A6">
        <v>7.2</v>
      </c>
      <c r="B6">
        <v>2.2999999999999998</v>
      </c>
      <c r="C6">
        <v>3.7</v>
      </c>
    </row>
    <row r="7" spans="1:8">
      <c r="A7">
        <v>6.2</v>
      </c>
      <c r="B7">
        <v>4.2</v>
      </c>
      <c r="C7">
        <v>4</v>
      </c>
    </row>
    <row r="8" spans="1:8">
      <c r="A8">
        <v>7.3</v>
      </c>
      <c r="B8">
        <v>1.4</v>
      </c>
      <c r="C8">
        <v>3</v>
      </c>
    </row>
    <row r="9" spans="1:8">
      <c r="A9">
        <v>7.1</v>
      </c>
      <c r="B9">
        <v>2.2000000000000002</v>
      </c>
      <c r="C9">
        <v>3.1</v>
      </c>
    </row>
    <row r="10" spans="1:8">
      <c r="A10">
        <v>7.6</v>
      </c>
      <c r="B10">
        <v>2</v>
      </c>
      <c r="C10">
        <v>3.2</v>
      </c>
    </row>
    <row r="11" spans="1:8">
      <c r="A11">
        <v>6.9</v>
      </c>
      <c r="B11">
        <v>2.7</v>
      </c>
      <c r="C11">
        <v>3.5</v>
      </c>
    </row>
    <row r="12" spans="1:8">
      <c r="A12">
        <v>6.7</v>
      </c>
      <c r="B12">
        <v>0.8</v>
      </c>
      <c r="C12">
        <v>2.4</v>
      </c>
    </row>
    <row r="18" spans="1:2">
      <c r="A18" s="1"/>
      <c r="B18" s="1"/>
    </row>
    <row r="29" spans="1:2">
      <c r="A29" t="s">
        <v>11</v>
      </c>
    </row>
    <row r="30" spans="1:2">
      <c r="A30">
        <f>CORREL(A3:A12,B3:B12)</f>
        <v>-2.3622597573577639E-2</v>
      </c>
    </row>
    <row r="32" spans="1:2">
      <c r="A32" t="s">
        <v>12</v>
      </c>
    </row>
    <row r="33" spans="1:1">
      <c r="A33">
        <f>CORREL(A3:A12,C3:C12)</f>
        <v>9.9019924285973171E-2</v>
      </c>
    </row>
    <row r="35" spans="1:1">
      <c r="A35" t="s">
        <v>13</v>
      </c>
    </row>
    <row r="36" spans="1:1">
      <c r="A36">
        <f>CORREL(B3:B12,C3:C12)</f>
        <v>0.93983471971241195</v>
      </c>
    </row>
    <row r="38" spans="1:1">
      <c r="A38" s="3" t="s">
        <v>14</v>
      </c>
    </row>
  </sheetData>
  <mergeCells count="1">
    <mergeCell ref="A1:D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E26" sqref="E26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Scores</vt:lpstr>
      <vt:lpstr>Relationship Between Variables</vt:lpstr>
      <vt:lpstr>Worksheet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Rose, Matt</dc:creator>
  <cp:lastModifiedBy>Kent Pearce</cp:lastModifiedBy>
  <dcterms:created xsi:type="dcterms:W3CDTF">2011-10-04T19:21:02Z</dcterms:created>
  <dcterms:modified xsi:type="dcterms:W3CDTF">2011-10-27T18:30:19Z</dcterms:modified>
</cp:coreProperties>
</file>