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7" i="1"/>
  <c r="B26"/>
  <c r="B25"/>
  <c r="B24"/>
  <c r="B23"/>
  <c r="B22"/>
  <c r="B21"/>
</calcChain>
</file>

<file path=xl/sharedStrings.xml><?xml version="1.0" encoding="utf-8"?>
<sst xmlns="http://schemas.openxmlformats.org/spreadsheetml/2006/main" count="11" uniqueCount="11">
  <si>
    <t>Order</t>
  </si>
  <si>
    <t>Score</t>
  </si>
  <si>
    <t>Mean</t>
  </si>
  <si>
    <t>Median</t>
  </si>
  <si>
    <t>Standard Dev.</t>
  </si>
  <si>
    <t>Maximum</t>
  </si>
  <si>
    <t>Minimum</t>
  </si>
  <si>
    <t>1st Q.</t>
  </si>
  <si>
    <t>3rd Q.</t>
  </si>
  <si>
    <t>freq dist</t>
  </si>
  <si>
    <t>histogram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</si>
</sst>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>
      <selection activeCell="B31" sqref="B31:B33"/>
    </sheetView>
  </sheetViews>
  <sheetFormatPr defaultRowHeight="15"/>
  <cols>
    <col min="1" max="1" width="13.4257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70</v>
      </c>
    </row>
    <row r="3" spans="1:2">
      <c r="A3">
        <v>2</v>
      </c>
      <c r="B3">
        <v>32</v>
      </c>
    </row>
    <row r="4" spans="1:2">
      <c r="A4">
        <v>3</v>
      </c>
      <c r="B4">
        <v>56</v>
      </c>
    </row>
    <row r="5" spans="1:2">
      <c r="A5">
        <v>4</v>
      </c>
      <c r="B5">
        <v>73</v>
      </c>
    </row>
    <row r="6" spans="1:2">
      <c r="A6">
        <v>5</v>
      </c>
      <c r="B6">
        <v>55</v>
      </c>
    </row>
    <row r="7" spans="1:2">
      <c r="A7">
        <v>6</v>
      </c>
      <c r="B7">
        <v>71</v>
      </c>
    </row>
    <row r="8" spans="1:2">
      <c r="A8">
        <v>7</v>
      </c>
      <c r="B8">
        <v>60</v>
      </c>
    </row>
    <row r="9" spans="1:2">
      <c r="A9">
        <v>8</v>
      </c>
      <c r="B9">
        <v>63</v>
      </c>
    </row>
    <row r="10" spans="1:2">
      <c r="A10">
        <v>9</v>
      </c>
      <c r="B10">
        <v>67</v>
      </c>
    </row>
    <row r="11" spans="1:2">
      <c r="A11">
        <v>10</v>
      </c>
      <c r="B11">
        <v>29</v>
      </c>
    </row>
    <row r="12" spans="1:2">
      <c r="A12">
        <v>11</v>
      </c>
      <c r="B12">
        <v>65</v>
      </c>
    </row>
    <row r="13" spans="1:2">
      <c r="A13">
        <v>12</v>
      </c>
      <c r="B13">
        <v>63</v>
      </c>
    </row>
    <row r="14" spans="1:2">
      <c r="A14">
        <v>13</v>
      </c>
      <c r="B14">
        <v>22</v>
      </c>
    </row>
    <row r="15" spans="1:2">
      <c r="A15">
        <v>14</v>
      </c>
      <c r="B15">
        <v>25</v>
      </c>
    </row>
    <row r="16" spans="1:2">
      <c r="A16">
        <v>15</v>
      </c>
      <c r="B16">
        <v>72</v>
      </c>
    </row>
    <row r="17" spans="1:2">
      <c r="A17">
        <v>16</v>
      </c>
      <c r="B17">
        <v>55</v>
      </c>
    </row>
    <row r="18" spans="1:2">
      <c r="A18">
        <v>17</v>
      </c>
      <c r="B18">
        <v>66</v>
      </c>
    </row>
    <row r="19" spans="1:2">
      <c r="A19">
        <v>18</v>
      </c>
      <c r="B19">
        <v>51</v>
      </c>
    </row>
    <row r="21" spans="1:2">
      <c r="A21" t="s">
        <v>2</v>
      </c>
      <c r="B21">
        <f>AVERAGE(B2:B19)</f>
        <v>55.277777777777779</v>
      </c>
    </row>
    <row r="22" spans="1:2">
      <c r="A22" t="s">
        <v>3</v>
      </c>
      <c r="B22">
        <f>MEDIAN(B2:B19)</f>
        <v>61.5</v>
      </c>
    </row>
    <row r="23" spans="1:2">
      <c r="A23" t="s">
        <v>4</v>
      </c>
      <c r="B23">
        <f>_xlfn.STDEV.P(B2:B19)</f>
        <v>16.366651580290249</v>
      </c>
    </row>
    <row r="24" spans="1:2">
      <c r="A24" t="s">
        <v>5</v>
      </c>
      <c r="B24">
        <f>MAX(B2:B19)</f>
        <v>73</v>
      </c>
    </row>
    <row r="25" spans="1:2">
      <c r="A25" t="s">
        <v>6</v>
      </c>
      <c r="B25">
        <f>MIN(B2:B19)</f>
        <v>22</v>
      </c>
    </row>
    <row r="26" spans="1:2">
      <c r="A26" t="s">
        <v>7</v>
      </c>
      <c r="B26">
        <f>_xlfn.QUARTILE.EXC(B2:B19,1)</f>
        <v>46.25</v>
      </c>
    </row>
    <row r="27" spans="1:2">
      <c r="A27" t="s">
        <v>8</v>
      </c>
      <c r="B27">
        <f>_xlfn.QUARTILE.EXC(B2:B19,3)</f>
        <v>67.75</v>
      </c>
    </row>
    <row r="31" spans="1:2">
      <c r="A31" s="1" t="s">
        <v>9</v>
      </c>
      <c r="B31" s="1">
        <v>-3</v>
      </c>
    </row>
    <row r="32" spans="1:2">
      <c r="A32" s="1" t="s">
        <v>10</v>
      </c>
      <c r="B32" s="1">
        <v>-3</v>
      </c>
    </row>
    <row r="33" spans="2:2">
      <c r="B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2011-10-04T19:20:22Z</dcterms:created>
  <dcterms:modified xsi:type="dcterms:W3CDTF">2011-10-27T18:21:38Z</dcterms:modified>
</cp:coreProperties>
</file>