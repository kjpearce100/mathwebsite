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5315" windowHeight="15645"/>
  </bookViews>
  <sheets>
    <sheet name="basic" sheetId="1" r:id="rId1"/>
    <sheet name="correl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H5" i="2"/>
  <c r="H4"/>
  <c r="H3"/>
  <c r="J9" i="1"/>
  <c r="J8"/>
  <c r="J7"/>
  <c r="J6"/>
  <c r="J5"/>
  <c r="J4"/>
  <c r="G32"/>
  <c r="G31"/>
  <c r="G29"/>
  <c r="G28"/>
  <c r="G24"/>
  <c r="G22"/>
  <c r="G21"/>
</calcChain>
</file>

<file path=xl/sharedStrings.xml><?xml version="1.0" encoding="utf-8"?>
<sst xmlns="http://schemas.openxmlformats.org/spreadsheetml/2006/main" count="23" uniqueCount="21">
  <si>
    <t>mean</t>
  </si>
  <si>
    <t>median</t>
  </si>
  <si>
    <t>standard deviation</t>
  </si>
  <si>
    <t>what</t>
  </si>
  <si>
    <t>maximum</t>
  </si>
  <si>
    <t>minium</t>
  </si>
  <si>
    <t>1st quartile</t>
  </si>
  <si>
    <t>3rd quartile</t>
  </si>
  <si>
    <t>frequency grouping</t>
  </si>
  <si>
    <t>histogram</t>
  </si>
  <si>
    <t>classes</t>
  </si>
  <si>
    <t>freq</t>
  </si>
  <si>
    <t>Hours Sleeping</t>
  </si>
  <si>
    <t>Hours Studying</t>
  </si>
  <si>
    <t>GPA</t>
  </si>
  <si>
    <t>Direct correlation between Studying and GPA</t>
  </si>
  <si>
    <t>No other appreciable correlations</t>
  </si>
  <si>
    <t>Sleeping vs Studying</t>
  </si>
  <si>
    <t>Studying vs GPA</t>
  </si>
  <si>
    <t>Sleeping vs GPA</t>
  </si>
  <si>
    <t>Corrleation Coefficients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</si>
</sst>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layout/>
    </c:title>
    <c:plotArea>
      <c:layout/>
      <c:barChart>
        <c:barDir val="col"/>
        <c:grouping val="clustered"/>
        <c:ser>
          <c:idx val="1"/>
          <c:order val="0"/>
          <c:tx>
            <c:strRef>
              <c:f>basic!$I$4:$I$9</c:f>
              <c:strCache>
                <c:ptCount val="1"/>
                <c:pt idx="0">
                  <c:v>20 30 40 50 60 70</c:v>
                </c:pt>
              </c:strCache>
            </c:strRef>
          </c:tx>
          <c:val>
            <c:numRef>
              <c:f>basic!$J$4:$J$9</c:f>
              <c:numCache>
                <c:formatCode>General</c:formatCode>
                <c:ptCount val="6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6</c:v>
                </c:pt>
                <c:pt idx="5">
                  <c:v>4</c:v>
                </c:pt>
              </c:numCache>
            </c:numRef>
          </c:val>
        </c:ser>
        <c:axId val="90424064"/>
        <c:axId val="90425600"/>
      </c:barChart>
      <c:catAx>
        <c:axId val="90424064"/>
        <c:scaling>
          <c:orientation val="minMax"/>
        </c:scaling>
        <c:axPos val="b"/>
        <c:tickLblPos val="nextTo"/>
        <c:crossAx val="90425600"/>
        <c:crosses val="autoZero"/>
        <c:auto val="1"/>
        <c:lblAlgn val="ctr"/>
        <c:lblOffset val="100"/>
      </c:catAx>
      <c:valAx>
        <c:axId val="90425600"/>
        <c:scaling>
          <c:orientation val="minMax"/>
        </c:scaling>
        <c:axPos val="l"/>
        <c:majorGridlines/>
        <c:numFmt formatCode="General" sourceLinked="1"/>
        <c:tickLblPos val="nextTo"/>
        <c:crossAx val="90424064"/>
        <c:crosses val="autoZero"/>
        <c:crossBetween val="between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scatterChart>
        <c:scatterStyle val="lineMarker"/>
        <c:ser>
          <c:idx val="0"/>
          <c:order val="0"/>
          <c:tx>
            <c:v>Sleeping vs Studying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1352099737532821"/>
                  <c:y val="-0.32349810440361626"/>
                </c:manualLayout>
              </c:layout>
              <c:numFmt formatCode="General" sourceLinked="0"/>
            </c:trendlineLbl>
          </c:trendline>
          <c:xVal>
            <c:numRef>
              <c:f>correl!$A$2:$A$11</c:f>
              <c:numCache>
                <c:formatCode>General</c:formatCode>
                <c:ptCount val="10"/>
                <c:pt idx="0">
                  <c:v>6.3</c:v>
                </c:pt>
                <c:pt idx="1">
                  <c:v>8.6999999999999993</c:v>
                </c:pt>
                <c:pt idx="2">
                  <c:v>8.5</c:v>
                </c:pt>
                <c:pt idx="3">
                  <c:v>7.2</c:v>
                </c:pt>
                <c:pt idx="4">
                  <c:v>6.2</c:v>
                </c:pt>
                <c:pt idx="5">
                  <c:v>7.3</c:v>
                </c:pt>
                <c:pt idx="6">
                  <c:v>7.1</c:v>
                </c:pt>
                <c:pt idx="7">
                  <c:v>7.6</c:v>
                </c:pt>
                <c:pt idx="8">
                  <c:v>6.9</c:v>
                </c:pt>
                <c:pt idx="9">
                  <c:v>6.7</c:v>
                </c:pt>
              </c:numCache>
            </c:numRef>
          </c:xVal>
          <c:yVal>
            <c:numRef>
              <c:f>correl!$B$2:$B$11</c:f>
              <c:numCache>
                <c:formatCode>General</c:formatCode>
                <c:ptCount val="10"/>
                <c:pt idx="0">
                  <c:v>1.2</c:v>
                </c:pt>
                <c:pt idx="1">
                  <c:v>1.5</c:v>
                </c:pt>
                <c:pt idx="2">
                  <c:v>3.4</c:v>
                </c:pt>
                <c:pt idx="3">
                  <c:v>2.2999999999999998</c:v>
                </c:pt>
                <c:pt idx="4">
                  <c:v>4.2</c:v>
                </c:pt>
                <c:pt idx="5">
                  <c:v>1.4</c:v>
                </c:pt>
                <c:pt idx="6">
                  <c:v>2.2000000000000002</c:v>
                </c:pt>
                <c:pt idx="7">
                  <c:v>2</c:v>
                </c:pt>
                <c:pt idx="8">
                  <c:v>2.7</c:v>
                </c:pt>
                <c:pt idx="9">
                  <c:v>0.8</c:v>
                </c:pt>
              </c:numCache>
            </c:numRef>
          </c:yVal>
        </c:ser>
        <c:axId val="51735168"/>
        <c:axId val="51736960"/>
      </c:scatterChart>
      <c:valAx>
        <c:axId val="51735168"/>
        <c:scaling>
          <c:orientation val="minMax"/>
        </c:scaling>
        <c:axPos val="b"/>
        <c:numFmt formatCode="General" sourceLinked="1"/>
        <c:tickLblPos val="nextTo"/>
        <c:crossAx val="51736960"/>
        <c:crosses val="autoZero"/>
        <c:crossBetween val="midCat"/>
      </c:valAx>
      <c:valAx>
        <c:axId val="51736960"/>
        <c:scaling>
          <c:orientation val="minMax"/>
        </c:scaling>
        <c:axPos val="l"/>
        <c:majorGridlines/>
        <c:numFmt formatCode="General" sourceLinked="1"/>
        <c:tickLblPos val="nextTo"/>
        <c:crossAx val="51735168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scatterChart>
        <c:scatterStyle val="lineMarker"/>
        <c:ser>
          <c:idx val="0"/>
          <c:order val="0"/>
          <c:tx>
            <c:v>Studying vs GPA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0912335958005247"/>
                  <c:y val="-5.5914625255176452E-2"/>
                </c:manualLayout>
              </c:layout>
              <c:numFmt formatCode="General" sourceLinked="0"/>
            </c:trendlineLbl>
          </c:trendline>
          <c:xVal>
            <c:numRef>
              <c:f>correl!$B$2:$B$11</c:f>
              <c:numCache>
                <c:formatCode>General</c:formatCode>
                <c:ptCount val="10"/>
                <c:pt idx="0">
                  <c:v>1.2</c:v>
                </c:pt>
                <c:pt idx="1">
                  <c:v>1.5</c:v>
                </c:pt>
                <c:pt idx="2">
                  <c:v>3.4</c:v>
                </c:pt>
                <c:pt idx="3">
                  <c:v>2.2999999999999998</c:v>
                </c:pt>
                <c:pt idx="4">
                  <c:v>4.2</c:v>
                </c:pt>
                <c:pt idx="5">
                  <c:v>1.4</c:v>
                </c:pt>
                <c:pt idx="6">
                  <c:v>2.2000000000000002</c:v>
                </c:pt>
                <c:pt idx="7">
                  <c:v>2</c:v>
                </c:pt>
                <c:pt idx="8">
                  <c:v>2.7</c:v>
                </c:pt>
                <c:pt idx="9">
                  <c:v>0.8</c:v>
                </c:pt>
              </c:numCache>
            </c:numRef>
          </c:xVal>
          <c:yVal>
            <c:numRef>
              <c:f>correl!$C$2:$C$11</c:f>
              <c:numCache>
                <c:formatCode>General</c:formatCode>
                <c:ptCount val="10"/>
                <c:pt idx="0">
                  <c:v>2.7</c:v>
                </c:pt>
                <c:pt idx="1">
                  <c:v>2.9</c:v>
                </c:pt>
                <c:pt idx="2">
                  <c:v>3.9</c:v>
                </c:pt>
                <c:pt idx="3">
                  <c:v>3.7</c:v>
                </c:pt>
                <c:pt idx="4">
                  <c:v>4</c:v>
                </c:pt>
                <c:pt idx="5">
                  <c:v>3</c:v>
                </c:pt>
                <c:pt idx="6">
                  <c:v>3.1</c:v>
                </c:pt>
                <c:pt idx="7">
                  <c:v>3.2</c:v>
                </c:pt>
                <c:pt idx="8">
                  <c:v>3.5</c:v>
                </c:pt>
                <c:pt idx="9">
                  <c:v>2.4</c:v>
                </c:pt>
              </c:numCache>
            </c:numRef>
          </c:yVal>
        </c:ser>
        <c:axId val="51753728"/>
        <c:axId val="51755264"/>
      </c:scatterChart>
      <c:valAx>
        <c:axId val="51753728"/>
        <c:scaling>
          <c:orientation val="minMax"/>
        </c:scaling>
        <c:axPos val="b"/>
        <c:numFmt formatCode="General" sourceLinked="1"/>
        <c:tickLblPos val="nextTo"/>
        <c:crossAx val="51755264"/>
        <c:crosses val="autoZero"/>
        <c:crossBetween val="midCat"/>
      </c:valAx>
      <c:valAx>
        <c:axId val="51755264"/>
        <c:scaling>
          <c:orientation val="minMax"/>
        </c:scaling>
        <c:axPos val="l"/>
        <c:majorGridlines/>
        <c:numFmt formatCode="General" sourceLinked="1"/>
        <c:tickLblPos val="nextTo"/>
        <c:crossAx val="51753728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scatterChart>
        <c:scatterStyle val="lineMarker"/>
        <c:ser>
          <c:idx val="0"/>
          <c:order val="0"/>
          <c:tx>
            <c:v>Sleeping vs GPA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7373206474190734"/>
                  <c:y val="-0.14842920676582097"/>
                </c:manualLayout>
              </c:layout>
              <c:numFmt formatCode="General" sourceLinked="0"/>
            </c:trendlineLbl>
          </c:trendline>
          <c:xVal>
            <c:numRef>
              <c:f>correl!$A$2:$A$11</c:f>
              <c:numCache>
                <c:formatCode>General</c:formatCode>
                <c:ptCount val="10"/>
                <c:pt idx="0">
                  <c:v>6.3</c:v>
                </c:pt>
                <c:pt idx="1">
                  <c:v>8.6999999999999993</c:v>
                </c:pt>
                <c:pt idx="2">
                  <c:v>8.5</c:v>
                </c:pt>
                <c:pt idx="3">
                  <c:v>7.2</c:v>
                </c:pt>
                <c:pt idx="4">
                  <c:v>6.2</c:v>
                </c:pt>
                <c:pt idx="5">
                  <c:v>7.3</c:v>
                </c:pt>
                <c:pt idx="6">
                  <c:v>7.1</c:v>
                </c:pt>
                <c:pt idx="7">
                  <c:v>7.6</c:v>
                </c:pt>
                <c:pt idx="8">
                  <c:v>6.9</c:v>
                </c:pt>
                <c:pt idx="9">
                  <c:v>6.7</c:v>
                </c:pt>
              </c:numCache>
            </c:numRef>
          </c:xVal>
          <c:yVal>
            <c:numRef>
              <c:f>correl!$C$2:$C$11</c:f>
              <c:numCache>
                <c:formatCode>General</c:formatCode>
                <c:ptCount val="10"/>
                <c:pt idx="0">
                  <c:v>2.7</c:v>
                </c:pt>
                <c:pt idx="1">
                  <c:v>2.9</c:v>
                </c:pt>
                <c:pt idx="2">
                  <c:v>3.9</c:v>
                </c:pt>
                <c:pt idx="3">
                  <c:v>3.7</c:v>
                </c:pt>
                <c:pt idx="4">
                  <c:v>4</c:v>
                </c:pt>
                <c:pt idx="5">
                  <c:v>3</c:v>
                </c:pt>
                <c:pt idx="6">
                  <c:v>3.1</c:v>
                </c:pt>
                <c:pt idx="7">
                  <c:v>3.2</c:v>
                </c:pt>
                <c:pt idx="8">
                  <c:v>3.5</c:v>
                </c:pt>
                <c:pt idx="9">
                  <c:v>2.4</c:v>
                </c:pt>
              </c:numCache>
            </c:numRef>
          </c:yVal>
        </c:ser>
        <c:axId val="51772032"/>
        <c:axId val="53809536"/>
      </c:scatterChart>
      <c:valAx>
        <c:axId val="51772032"/>
        <c:scaling>
          <c:orientation val="minMax"/>
        </c:scaling>
        <c:axPos val="b"/>
        <c:numFmt formatCode="General" sourceLinked="1"/>
        <c:tickLblPos val="nextTo"/>
        <c:crossAx val="53809536"/>
        <c:crosses val="autoZero"/>
        <c:crossBetween val="midCat"/>
      </c:valAx>
      <c:valAx>
        <c:axId val="53809536"/>
        <c:scaling>
          <c:orientation val="minMax"/>
        </c:scaling>
        <c:axPos val="l"/>
        <c:majorGridlines/>
        <c:numFmt formatCode="General" sourceLinked="1"/>
        <c:tickLblPos val="nextTo"/>
        <c:crossAx val="51772032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11</xdr:row>
      <xdr:rowOff>19050</xdr:rowOff>
    </xdr:from>
    <xdr:to>
      <xdr:col>11</xdr:col>
      <xdr:colOff>495300</xdr:colOff>
      <xdr:row>22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14</xdr:row>
      <xdr:rowOff>38100</xdr:rowOff>
    </xdr:from>
    <xdr:to>
      <xdr:col>6</xdr:col>
      <xdr:colOff>342900</xdr:colOff>
      <xdr:row>28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390525</xdr:colOff>
      <xdr:row>29</xdr:row>
      <xdr:rowOff>142875</xdr:rowOff>
    </xdr:from>
    <xdr:to>
      <xdr:col>6</xdr:col>
      <xdr:colOff>352425</xdr:colOff>
      <xdr:row>44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533400</xdr:colOff>
      <xdr:row>14</xdr:row>
      <xdr:rowOff>57150</xdr:rowOff>
    </xdr:from>
    <xdr:to>
      <xdr:col>14</xdr:col>
      <xdr:colOff>228600</xdr:colOff>
      <xdr:row>28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D1:J40"/>
  <sheetViews>
    <sheetView tabSelected="1" topLeftCell="D1" workbookViewId="0">
      <selection activeCell="J29" sqref="J29"/>
    </sheetView>
  </sheetViews>
  <sheetFormatPr defaultRowHeight="15"/>
  <sheetData>
    <row r="1" spans="5:10">
      <c r="E1" s="2">
        <v>70</v>
      </c>
    </row>
    <row r="2" spans="5:10">
      <c r="E2" s="2">
        <v>32</v>
      </c>
    </row>
    <row r="3" spans="5:10">
      <c r="E3" s="2">
        <v>56</v>
      </c>
      <c r="I3" s="1" t="s">
        <v>10</v>
      </c>
      <c r="J3" s="1" t="s">
        <v>11</v>
      </c>
    </row>
    <row r="4" spans="5:10">
      <c r="E4" s="2">
        <v>73</v>
      </c>
      <c r="I4" s="1">
        <v>20</v>
      </c>
      <c r="J4" s="1">
        <f>COUNTIF(E$1:E$18,"&lt;30")</f>
        <v>3</v>
      </c>
    </row>
    <row r="5" spans="5:10">
      <c r="E5" s="2">
        <v>55</v>
      </c>
      <c r="I5" s="1">
        <v>30</v>
      </c>
      <c r="J5" s="1">
        <f>COUNTIF(E$1:E$18,"&lt;40")-SUM(J$4:J4)</f>
        <v>1</v>
      </c>
    </row>
    <row r="6" spans="5:10">
      <c r="E6" s="2">
        <v>71</v>
      </c>
      <c r="I6" s="1">
        <v>40</v>
      </c>
      <c r="J6" s="1">
        <f>COUNTIF(E$1:E$18,"&lt;50")-SUM(J$4:J5)</f>
        <v>0</v>
      </c>
    </row>
    <row r="7" spans="5:10">
      <c r="E7" s="2">
        <v>60</v>
      </c>
      <c r="I7" s="1">
        <v>50</v>
      </c>
      <c r="J7" s="1">
        <f>COUNTIF(E$1:E$18,"&lt;60")-SUM(J$4:J6)</f>
        <v>4</v>
      </c>
    </row>
    <row r="8" spans="5:10">
      <c r="E8" s="2">
        <v>63</v>
      </c>
      <c r="I8" s="1">
        <v>60</v>
      </c>
      <c r="J8" s="1">
        <f>COUNTIF(E$1:E$18,"&lt;70")-SUM(J$4:J7)</f>
        <v>6</v>
      </c>
    </row>
    <row r="9" spans="5:10">
      <c r="E9" s="2">
        <v>67</v>
      </c>
      <c r="I9" s="1">
        <v>70</v>
      </c>
      <c r="J9" s="1">
        <f>COUNTIF(E$1:E$18,"&lt;80")-SUM(J$4:J8)</f>
        <v>4</v>
      </c>
    </row>
    <row r="10" spans="5:10">
      <c r="E10" s="2">
        <v>29</v>
      </c>
    </row>
    <row r="11" spans="5:10">
      <c r="E11" s="2">
        <v>65</v>
      </c>
    </row>
    <row r="12" spans="5:10">
      <c r="E12" s="2">
        <v>63</v>
      </c>
    </row>
    <row r="13" spans="5:10">
      <c r="E13" s="2">
        <v>22</v>
      </c>
    </row>
    <row r="14" spans="5:10">
      <c r="E14" s="2">
        <v>25</v>
      </c>
    </row>
    <row r="15" spans="5:10">
      <c r="E15" s="2">
        <v>72</v>
      </c>
    </row>
    <row r="16" spans="5:10">
      <c r="E16" s="2">
        <v>55</v>
      </c>
    </row>
    <row r="17" spans="4:10">
      <c r="E17" s="2">
        <v>66</v>
      </c>
    </row>
    <row r="18" spans="4:10">
      <c r="E18" s="2">
        <v>51</v>
      </c>
    </row>
    <row r="20" spans="4:10">
      <c r="D20">
        <v>1</v>
      </c>
    </row>
    <row r="21" spans="4:10">
      <c r="E21" t="s">
        <v>0</v>
      </c>
      <c r="G21">
        <f>AVERAGE(E1:E18)</f>
        <v>55.277777777777779</v>
      </c>
    </row>
    <row r="22" spans="4:10">
      <c r="E22" t="s">
        <v>1</v>
      </c>
      <c r="G22">
        <f>MEDIAN(E1:E18)</f>
        <v>61.5</v>
      </c>
    </row>
    <row r="23" spans="4:10">
      <c r="D23">
        <v>2</v>
      </c>
    </row>
    <row r="24" spans="4:10">
      <c r="E24" t="s">
        <v>2</v>
      </c>
      <c r="G24">
        <f>STDEV(E1:E18)</f>
        <v>16.841145537241101</v>
      </c>
    </row>
    <row r="25" spans="4:10">
      <c r="D25">
        <v>3</v>
      </c>
    </row>
    <row r="26" spans="4:10">
      <c r="E26" t="s">
        <v>3</v>
      </c>
    </row>
    <row r="27" spans="4:10">
      <c r="D27">
        <v>4</v>
      </c>
    </row>
    <row r="28" spans="4:10">
      <c r="E28" t="s">
        <v>4</v>
      </c>
      <c r="G28">
        <f>MAX(E1:E18)</f>
        <v>73</v>
      </c>
    </row>
    <row r="29" spans="4:10">
      <c r="E29" t="s">
        <v>5</v>
      </c>
      <c r="G29">
        <f>MIN(E1:E18)</f>
        <v>22</v>
      </c>
      <c r="J29" s="5"/>
    </row>
    <row r="30" spans="4:10">
      <c r="D30">
        <v>5</v>
      </c>
    </row>
    <row r="31" spans="4:10">
      <c r="E31" t="s">
        <v>6</v>
      </c>
      <c r="G31">
        <f>QUARTILE(E1:E18,1)</f>
        <v>52</v>
      </c>
    </row>
    <row r="32" spans="4:10">
      <c r="E32" t="s">
        <v>7</v>
      </c>
      <c r="G32">
        <f>QUARTILE(E1:E18,3)</f>
        <v>66.75</v>
      </c>
    </row>
    <row r="33" spans="4:5">
      <c r="D33">
        <v>6</v>
      </c>
    </row>
    <row r="34" spans="4:5">
      <c r="E34" t="s">
        <v>3</v>
      </c>
    </row>
    <row r="35" spans="4:5">
      <c r="D35">
        <v>7</v>
      </c>
    </row>
    <row r="36" spans="4:5">
      <c r="E36" t="s">
        <v>8</v>
      </c>
    </row>
    <row r="37" spans="4:5">
      <c r="D37">
        <v>8</v>
      </c>
    </row>
    <row r="38" spans="4:5">
      <c r="E38" t="s">
        <v>3</v>
      </c>
    </row>
    <row r="39" spans="4:5">
      <c r="D39">
        <v>9</v>
      </c>
    </row>
    <row r="40" spans="4:5">
      <c r="E40" t="s">
        <v>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8"/>
  <sheetViews>
    <sheetView workbookViewId="0">
      <selection activeCell="H5" sqref="H5"/>
    </sheetView>
  </sheetViews>
  <sheetFormatPr defaultRowHeight="15"/>
  <cols>
    <col min="1" max="2" width="14.42578125" bestFit="1" customWidth="1"/>
    <col min="3" max="3" width="12.85546875" customWidth="1"/>
  </cols>
  <sheetData>
    <row r="1" spans="1:8">
      <c r="A1" s="4" t="s">
        <v>12</v>
      </c>
      <c r="B1" s="4" t="s">
        <v>13</v>
      </c>
      <c r="C1" s="4" t="s">
        <v>14</v>
      </c>
      <c r="E1">
        <v>3</v>
      </c>
    </row>
    <row r="2" spans="1:8">
      <c r="A2" s="3">
        <v>6.3</v>
      </c>
      <c r="B2" s="3">
        <v>1.2</v>
      </c>
      <c r="C2" s="3">
        <v>2.7</v>
      </c>
      <c r="F2" t="s">
        <v>20</v>
      </c>
    </row>
    <row r="3" spans="1:8">
      <c r="A3" s="3">
        <v>8.6999999999999993</v>
      </c>
      <c r="B3" s="3">
        <v>1.5</v>
      </c>
      <c r="C3" s="3">
        <v>2.9</v>
      </c>
      <c r="F3" t="s">
        <v>17</v>
      </c>
      <c r="H3">
        <f>CORREL(A2:A11,B2:B11)</f>
        <v>-2.3622597573577639E-2</v>
      </c>
    </row>
    <row r="4" spans="1:8">
      <c r="A4" s="3">
        <v>8.5</v>
      </c>
      <c r="B4" s="3">
        <v>3.4</v>
      </c>
      <c r="C4" s="3">
        <v>3.9</v>
      </c>
      <c r="F4" t="s">
        <v>18</v>
      </c>
      <c r="H4">
        <f>CORREL(B2:B11,C2:C11)</f>
        <v>0.93983471971241195</v>
      </c>
    </row>
    <row r="5" spans="1:8">
      <c r="A5" s="3">
        <v>7.2</v>
      </c>
      <c r="B5" s="3">
        <v>2.2999999999999998</v>
      </c>
      <c r="C5" s="3">
        <v>3.7</v>
      </c>
      <c r="F5" t="s">
        <v>19</v>
      </c>
      <c r="H5">
        <f>CORREL(A2:A11,C2:C11)</f>
        <v>9.9019924285973171E-2</v>
      </c>
    </row>
    <row r="6" spans="1:8">
      <c r="A6" s="3">
        <v>6.2</v>
      </c>
      <c r="B6" s="3">
        <v>4.2</v>
      </c>
      <c r="C6" s="3">
        <v>4</v>
      </c>
    </row>
    <row r="7" spans="1:8">
      <c r="A7" s="3">
        <v>7.3</v>
      </c>
      <c r="B7" s="3">
        <v>1.4</v>
      </c>
      <c r="C7" s="3">
        <v>3</v>
      </c>
    </row>
    <row r="8" spans="1:8">
      <c r="A8" s="3">
        <v>7.1</v>
      </c>
      <c r="B8" s="3">
        <v>2.2000000000000002</v>
      </c>
      <c r="C8" s="3">
        <v>3.1</v>
      </c>
    </row>
    <row r="9" spans="1:8">
      <c r="A9" s="3">
        <v>7.6</v>
      </c>
      <c r="B9" s="3">
        <v>2</v>
      </c>
      <c r="C9" s="3">
        <v>3.2</v>
      </c>
    </row>
    <row r="10" spans="1:8">
      <c r="A10" s="3">
        <v>6.9</v>
      </c>
      <c r="B10" s="3">
        <v>2.7</v>
      </c>
      <c r="C10" s="3">
        <v>3.5</v>
      </c>
    </row>
    <row r="11" spans="1:8">
      <c r="A11" s="3">
        <v>6.7</v>
      </c>
      <c r="B11" s="3">
        <v>0.8</v>
      </c>
      <c r="C11" s="3">
        <v>2.4</v>
      </c>
    </row>
    <row r="46" spans="1:2">
      <c r="A46">
        <v>4</v>
      </c>
    </row>
    <row r="47" spans="1:2">
      <c r="B47" t="s">
        <v>15</v>
      </c>
    </row>
    <row r="48" spans="1:2">
      <c r="B48" t="s">
        <v>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</vt:lpstr>
      <vt:lpstr>correl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Pearce</dc:creator>
  <cp:lastModifiedBy>Kent Pearce</cp:lastModifiedBy>
  <dcterms:created xsi:type="dcterms:W3CDTF">2011-10-27T17:43:55Z</dcterms:created>
  <dcterms:modified xsi:type="dcterms:W3CDTF">2011-10-27T20:38:56Z</dcterms:modified>
</cp:coreProperties>
</file>