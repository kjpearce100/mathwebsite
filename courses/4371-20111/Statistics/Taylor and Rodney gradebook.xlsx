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25725"/>
</workbook>
</file>

<file path=xl/calcChain.xml><?xml version="1.0" encoding="utf-8"?>
<calcChain xmlns="http://schemas.openxmlformats.org/spreadsheetml/2006/main">
  <c r="G9" i="6"/>
  <c r="G8"/>
  <c r="G7"/>
  <c r="G6"/>
  <c r="G5"/>
  <c r="E9"/>
  <c r="E8"/>
  <c r="E7"/>
  <c r="E6"/>
  <c r="E5"/>
  <c r="O9" i="5" l="1"/>
  <c r="O8"/>
  <c r="O7"/>
  <c r="O6"/>
  <c r="O5"/>
  <c r="L9"/>
  <c r="L8"/>
  <c r="L7"/>
  <c r="L6"/>
  <c r="L5"/>
  <c r="L9" i="4"/>
  <c r="L8"/>
  <c r="L7"/>
  <c r="O7" s="1"/>
  <c r="L6"/>
  <c r="O6" s="1"/>
  <c r="L5"/>
  <c r="O5" s="1"/>
  <c r="O9"/>
  <c r="O8"/>
  <c r="E9" i="3"/>
  <c r="E8"/>
  <c r="E7"/>
  <c r="E6"/>
  <c r="E5"/>
  <c r="H5" i="2"/>
  <c r="H6"/>
  <c r="H7"/>
  <c r="H8"/>
  <c r="H4"/>
  <c r="E8"/>
  <c r="E7"/>
  <c r="E6"/>
  <c r="E5"/>
  <c r="E4"/>
  <c r="H8" i="1"/>
  <c r="I8" s="1"/>
  <c r="I7"/>
  <c r="H7"/>
  <c r="I6"/>
  <c r="H6"/>
  <c r="H5"/>
  <c r="I5" s="1"/>
  <c r="I4"/>
  <c r="H4"/>
</calcChain>
</file>

<file path=xl/sharedStrings.xml><?xml version="1.0" encoding="utf-8"?>
<sst xmlns="http://schemas.openxmlformats.org/spreadsheetml/2006/main" count="102" uniqueCount="47">
  <si>
    <t>Student Name</t>
  </si>
  <si>
    <t>Homework</t>
  </si>
  <si>
    <t>Final</t>
  </si>
  <si>
    <t>Taylor T.</t>
  </si>
  <si>
    <t>Rodney L.</t>
  </si>
  <si>
    <t>Kim R.</t>
  </si>
  <si>
    <t>Mike K.</t>
  </si>
  <si>
    <t>Nathan T.</t>
  </si>
  <si>
    <t>Mid-Term</t>
  </si>
  <si>
    <t>Final Exam</t>
  </si>
  <si>
    <t>Lab Projects</t>
  </si>
  <si>
    <t>Statistics Project</t>
  </si>
  <si>
    <t>Final Project</t>
  </si>
  <si>
    <t>Grade Total</t>
  </si>
  <si>
    <t>Historical Project</t>
  </si>
  <si>
    <t>Final Grade</t>
  </si>
  <si>
    <t>Scenario #1</t>
  </si>
  <si>
    <t>Scenario #2</t>
  </si>
  <si>
    <t>Test 1</t>
  </si>
  <si>
    <t>Test 2</t>
  </si>
  <si>
    <t>Test 3</t>
  </si>
  <si>
    <t>Test Avg.</t>
  </si>
  <si>
    <t>Scenario #3</t>
  </si>
  <si>
    <t>Midterm</t>
  </si>
  <si>
    <t>Scenario #4</t>
  </si>
  <si>
    <t>HW #1</t>
  </si>
  <si>
    <t>HW #2</t>
  </si>
  <si>
    <t>HW #3</t>
  </si>
  <si>
    <t>HW #4</t>
  </si>
  <si>
    <t>HW #5</t>
  </si>
  <si>
    <t>Hw #6</t>
  </si>
  <si>
    <t>HW#7</t>
  </si>
  <si>
    <t>HW #8</t>
  </si>
  <si>
    <t>HW #9</t>
  </si>
  <si>
    <t>HW #10</t>
  </si>
  <si>
    <t>HW Average</t>
  </si>
  <si>
    <t>Scenerio # 5</t>
  </si>
  <si>
    <t>Scenerio # 6</t>
  </si>
  <si>
    <t>Test #1</t>
  </si>
  <si>
    <t>Test #2</t>
  </si>
  <si>
    <t>Test #3</t>
  </si>
  <si>
    <t>Grade??</t>
  </si>
  <si>
    <t>A</t>
  </si>
  <si>
    <t>C</t>
  </si>
  <si>
    <t>F</t>
  </si>
  <si>
    <t>B</t>
  </si>
  <si>
    <t>52/54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</si>
</sst>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/>
    <xf numFmtId="0" fontId="2" fillId="0" borderId="1" xfId="0" applyFont="1" applyBorder="1"/>
    <xf numFmtId="2" fontId="0" fillId="0" borderId="0" xfId="0" applyNumberFormat="1"/>
    <xf numFmtId="0" fontId="0" fillId="0" borderId="3" xfId="0" applyBorder="1"/>
    <xf numFmtId="0" fontId="0" fillId="0" borderId="4" xfId="0" applyBorder="1"/>
    <xf numFmtId="0" fontId="2" fillId="0" borderId="1" xfId="0" applyFont="1" applyFill="1" applyBorder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1" xfId="0" applyFont="1" applyFill="1" applyBorder="1"/>
    <xf numFmtId="0" fontId="5" fillId="0" borderId="5" xfId="0" applyFont="1" applyBorder="1"/>
    <xf numFmtId="0" fontId="5" fillId="0" borderId="1" xfId="0" applyFont="1" applyBorder="1"/>
    <xf numFmtId="0" fontId="5" fillId="0" borderId="2" xfId="0" applyFont="1" applyBorder="1"/>
    <xf numFmtId="0" fontId="3" fillId="0" borderId="5" xfId="0" applyFont="1" applyBorder="1"/>
    <xf numFmtId="0" fontId="7" fillId="0" borderId="0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topLeftCell="D1" workbookViewId="0">
      <selection activeCell="D11" sqref="D11"/>
    </sheetView>
  </sheetViews>
  <sheetFormatPr defaultRowHeight="15"/>
  <cols>
    <col min="1" max="1" width="14.140625" customWidth="1"/>
    <col min="2" max="2" width="15.7109375" bestFit="1" customWidth="1"/>
    <col min="3" max="3" width="18.85546875" bestFit="1" customWidth="1"/>
    <col min="4" max="4" width="25.28515625" bestFit="1" customWidth="1"/>
    <col min="5" max="5" width="25.28515625" customWidth="1"/>
    <col min="6" max="6" width="19.28515625" bestFit="1" customWidth="1"/>
    <col min="7" max="7" width="19.28515625" customWidth="1"/>
    <col min="8" max="8" width="18.28515625" bestFit="1" customWidth="1"/>
    <col min="9" max="9" width="17.85546875" bestFit="1" customWidth="1"/>
  </cols>
  <sheetData>
    <row r="1" spans="1:10" ht="26.25">
      <c r="A1" s="7" t="s">
        <v>16</v>
      </c>
    </row>
    <row r="3" spans="1:10" ht="27" thickBot="1">
      <c r="A3" s="1" t="s">
        <v>0</v>
      </c>
      <c r="B3" s="2" t="s">
        <v>8</v>
      </c>
      <c r="C3" s="2" t="s">
        <v>10</v>
      </c>
      <c r="D3" s="6" t="s">
        <v>11</v>
      </c>
      <c r="E3" s="6" t="s">
        <v>14</v>
      </c>
      <c r="F3" s="6" t="s">
        <v>12</v>
      </c>
      <c r="G3" s="6" t="s">
        <v>9</v>
      </c>
      <c r="H3" s="6" t="s">
        <v>13</v>
      </c>
      <c r="I3" s="6" t="s">
        <v>15</v>
      </c>
      <c r="J3" s="15" t="s">
        <v>41</v>
      </c>
    </row>
    <row r="4" spans="1:10">
      <c r="A4" s="4" t="s">
        <v>3</v>
      </c>
      <c r="B4">
        <v>100</v>
      </c>
      <c r="C4">
        <v>425</v>
      </c>
      <c r="D4">
        <v>85</v>
      </c>
      <c r="E4">
        <v>97</v>
      </c>
      <c r="F4">
        <v>98</v>
      </c>
      <c r="G4">
        <v>100</v>
      </c>
      <c r="H4">
        <f>SUM(B4:G4)</f>
        <v>905</v>
      </c>
      <c r="I4" s="3">
        <f>(H4/950)*100</f>
        <v>95.263157894736835</v>
      </c>
      <c r="J4" s="16" t="s">
        <v>42</v>
      </c>
    </row>
    <row r="5" spans="1:10">
      <c r="A5" s="5" t="s">
        <v>4</v>
      </c>
      <c r="B5">
        <v>75</v>
      </c>
      <c r="C5">
        <v>375</v>
      </c>
      <c r="D5">
        <v>68</v>
      </c>
      <c r="E5">
        <v>72</v>
      </c>
      <c r="F5">
        <v>81</v>
      </c>
      <c r="G5">
        <v>71</v>
      </c>
      <c r="H5">
        <f>SUM(B5:G5)</f>
        <v>742</v>
      </c>
      <c r="I5" s="3">
        <f>(H5/950)*100</f>
        <v>78.10526315789474</v>
      </c>
      <c r="J5" s="16" t="s">
        <v>43</v>
      </c>
    </row>
    <row r="6" spans="1:10">
      <c r="A6" s="5" t="s">
        <v>5</v>
      </c>
      <c r="B6">
        <v>45</v>
      </c>
      <c r="C6">
        <v>200</v>
      </c>
      <c r="D6">
        <v>55</v>
      </c>
      <c r="E6">
        <v>65</v>
      </c>
      <c r="F6">
        <v>80</v>
      </c>
      <c r="G6">
        <v>65</v>
      </c>
      <c r="H6">
        <f>SUM(B6:G6)</f>
        <v>510</v>
      </c>
      <c r="I6" s="3">
        <f>(H6/950)*100</f>
        <v>53.684210526315788</v>
      </c>
      <c r="J6" s="16" t="s">
        <v>44</v>
      </c>
    </row>
    <row r="7" spans="1:10">
      <c r="A7" s="5" t="s">
        <v>6</v>
      </c>
      <c r="B7">
        <v>97</v>
      </c>
      <c r="C7">
        <v>400</v>
      </c>
      <c r="D7">
        <v>89</v>
      </c>
      <c r="E7">
        <v>98</v>
      </c>
      <c r="F7">
        <v>92</v>
      </c>
      <c r="G7">
        <v>93</v>
      </c>
      <c r="H7">
        <f>SUM(B7:G7)</f>
        <v>869</v>
      </c>
      <c r="I7" s="3">
        <f>(H7/950)*100</f>
        <v>91.473684210526315</v>
      </c>
      <c r="J7" s="16" t="s">
        <v>42</v>
      </c>
    </row>
    <row r="8" spans="1:10">
      <c r="A8" s="5" t="s">
        <v>7</v>
      </c>
      <c r="B8">
        <v>80</v>
      </c>
      <c r="C8">
        <v>350</v>
      </c>
      <c r="D8">
        <v>80</v>
      </c>
      <c r="E8">
        <v>89</v>
      </c>
      <c r="F8">
        <v>96</v>
      </c>
      <c r="G8">
        <v>95</v>
      </c>
      <c r="H8">
        <f>SUM(B8:G8)</f>
        <v>790</v>
      </c>
      <c r="I8" s="3">
        <f>(H8/950)*100</f>
        <v>83.15789473684211</v>
      </c>
      <c r="J8" s="16" t="s">
        <v>45</v>
      </c>
    </row>
    <row r="9" spans="1:10">
      <c r="I9" s="3"/>
    </row>
    <row r="10" spans="1:10">
      <c r="J10" s="16">
        <v>-2</v>
      </c>
    </row>
    <row r="11" spans="1:10">
      <c r="D11" s="16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selection activeCell="H8" sqref="H8"/>
    </sheetView>
  </sheetViews>
  <sheetFormatPr defaultRowHeight="15"/>
  <cols>
    <col min="1" max="1" width="24.85546875" bestFit="1" customWidth="1"/>
    <col min="2" max="4" width="11" bestFit="1" customWidth="1"/>
    <col min="5" max="5" width="16" bestFit="1" customWidth="1"/>
    <col min="6" max="6" width="19" bestFit="1" customWidth="1"/>
    <col min="7" max="7" width="8.85546875" bestFit="1" customWidth="1"/>
    <col min="8" max="8" width="19.42578125" bestFit="1" customWidth="1"/>
  </cols>
  <sheetData>
    <row r="1" spans="1:8" ht="23.25">
      <c r="A1" s="8" t="s">
        <v>17</v>
      </c>
    </row>
    <row r="3" spans="1:8" ht="27" thickBot="1">
      <c r="A3" s="1" t="s">
        <v>0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1</v>
      </c>
      <c r="G3" s="9" t="s">
        <v>2</v>
      </c>
      <c r="H3" s="10" t="s">
        <v>15</v>
      </c>
    </row>
    <row r="4" spans="1:8">
      <c r="A4" s="5" t="s">
        <v>3</v>
      </c>
      <c r="B4">
        <v>98</v>
      </c>
      <c r="C4">
        <v>89</v>
      </c>
      <c r="D4">
        <v>94</v>
      </c>
      <c r="E4" s="3">
        <f>(B4+C4+D4)/3</f>
        <v>93.666666666666671</v>
      </c>
      <c r="F4">
        <v>95</v>
      </c>
      <c r="G4">
        <v>98</v>
      </c>
      <c r="H4" s="3">
        <f>((B4+C4+D4)*0.2)+(F4*0.15)+(G4*0.25)</f>
        <v>94.95</v>
      </c>
    </row>
    <row r="5" spans="1:8">
      <c r="A5" s="5" t="s">
        <v>4</v>
      </c>
      <c r="B5">
        <v>89</v>
      </c>
      <c r="C5">
        <v>75</v>
      </c>
      <c r="D5">
        <v>96</v>
      </c>
      <c r="E5" s="3">
        <f t="shared" ref="E5:E8" si="0">(B5+C5+D5)/3</f>
        <v>86.666666666666671</v>
      </c>
      <c r="F5">
        <v>71</v>
      </c>
      <c r="G5">
        <v>89</v>
      </c>
      <c r="H5" s="3">
        <f t="shared" ref="H5:H8" si="1">((B5+C5+D5)*0.2)+(F5*0.15)+(G5*0.25)</f>
        <v>84.9</v>
      </c>
    </row>
    <row r="6" spans="1:8">
      <c r="A6" s="5" t="s">
        <v>5</v>
      </c>
      <c r="B6">
        <v>80</v>
      </c>
      <c r="C6">
        <v>71</v>
      </c>
      <c r="D6">
        <v>80</v>
      </c>
      <c r="E6" s="3">
        <f t="shared" si="0"/>
        <v>77</v>
      </c>
      <c r="F6">
        <v>86</v>
      </c>
      <c r="G6">
        <v>56</v>
      </c>
      <c r="H6" s="3">
        <f t="shared" si="1"/>
        <v>73.099999999999994</v>
      </c>
    </row>
    <row r="7" spans="1:8">
      <c r="A7" s="5" t="s">
        <v>6</v>
      </c>
      <c r="B7">
        <v>89</v>
      </c>
      <c r="C7">
        <v>95</v>
      </c>
      <c r="D7">
        <v>86</v>
      </c>
      <c r="E7" s="3">
        <f t="shared" si="0"/>
        <v>90</v>
      </c>
      <c r="F7">
        <v>69</v>
      </c>
      <c r="G7">
        <v>72</v>
      </c>
      <c r="H7" s="3">
        <f t="shared" si="1"/>
        <v>82.35</v>
      </c>
    </row>
    <row r="8" spans="1:8">
      <c r="A8" s="5" t="s">
        <v>7</v>
      </c>
      <c r="B8">
        <v>10</v>
      </c>
      <c r="C8">
        <v>0</v>
      </c>
      <c r="D8">
        <v>17</v>
      </c>
      <c r="E8" s="3">
        <f t="shared" si="0"/>
        <v>9</v>
      </c>
      <c r="F8">
        <v>2</v>
      </c>
      <c r="G8">
        <v>100</v>
      </c>
      <c r="H8" s="3">
        <f t="shared" si="1"/>
        <v>30.7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E9" sqref="E9"/>
    </sheetView>
  </sheetViews>
  <sheetFormatPr defaultRowHeight="15"/>
  <cols>
    <col min="1" max="1" width="24.85546875" bestFit="1" customWidth="1"/>
    <col min="2" max="2" width="15.42578125" bestFit="1" customWidth="1"/>
    <col min="3" max="3" width="19" bestFit="1" customWidth="1"/>
    <col min="5" max="5" width="19.42578125" bestFit="1" customWidth="1"/>
  </cols>
  <sheetData>
    <row r="1" spans="1:5" ht="26.25">
      <c r="A1" s="7" t="s">
        <v>22</v>
      </c>
    </row>
    <row r="4" spans="1:5" ht="27" thickBot="1">
      <c r="A4" s="1" t="s">
        <v>0</v>
      </c>
      <c r="B4" s="9" t="s">
        <v>23</v>
      </c>
      <c r="C4" s="9" t="s">
        <v>1</v>
      </c>
      <c r="D4" s="9" t="s">
        <v>2</v>
      </c>
      <c r="E4" s="10" t="s">
        <v>15</v>
      </c>
    </row>
    <row r="5" spans="1:5">
      <c r="A5" s="5" t="s">
        <v>3</v>
      </c>
      <c r="B5">
        <v>85</v>
      </c>
      <c r="C5">
        <v>100</v>
      </c>
      <c r="D5">
        <v>98</v>
      </c>
      <c r="E5">
        <f>(B5*0.25)+(C5*0.25)+(D5*0.5)</f>
        <v>95.25</v>
      </c>
    </row>
    <row r="6" spans="1:5">
      <c r="A6" s="5" t="s">
        <v>4</v>
      </c>
      <c r="B6">
        <v>89</v>
      </c>
      <c r="C6">
        <v>95</v>
      </c>
      <c r="D6">
        <v>96</v>
      </c>
      <c r="E6">
        <f t="shared" ref="E6:E9" si="0">(B6*0.25)+(C6*0.25)+(D6*0.5)</f>
        <v>94</v>
      </c>
    </row>
    <row r="7" spans="1:5">
      <c r="A7" s="5" t="s">
        <v>5</v>
      </c>
      <c r="B7">
        <v>50</v>
      </c>
      <c r="C7">
        <v>89</v>
      </c>
      <c r="D7">
        <v>63</v>
      </c>
      <c r="E7">
        <f t="shared" si="0"/>
        <v>66.25</v>
      </c>
    </row>
    <row r="8" spans="1:5">
      <c r="A8" s="5" t="s">
        <v>6</v>
      </c>
      <c r="B8">
        <v>59</v>
      </c>
      <c r="C8">
        <v>74</v>
      </c>
      <c r="D8">
        <v>67</v>
      </c>
      <c r="E8">
        <f t="shared" si="0"/>
        <v>66.75</v>
      </c>
    </row>
    <row r="9" spans="1:5">
      <c r="A9" s="5" t="s">
        <v>7</v>
      </c>
      <c r="B9">
        <v>76</v>
      </c>
      <c r="C9">
        <v>62</v>
      </c>
      <c r="D9">
        <v>80</v>
      </c>
      <c r="E9">
        <f t="shared" si="0"/>
        <v>74.5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topLeftCell="F1" workbookViewId="0">
      <selection activeCell="O8" sqref="O8"/>
    </sheetView>
  </sheetViews>
  <sheetFormatPr defaultRowHeight="15"/>
  <cols>
    <col min="1" max="1" width="24.85546875" bestFit="1" customWidth="1"/>
    <col min="2" max="6" width="10.5703125" bestFit="1" customWidth="1"/>
    <col min="7" max="7" width="10" bestFit="1" customWidth="1"/>
    <col min="8" max="8" width="9.85546875" bestFit="1" customWidth="1"/>
    <col min="9" max="10" width="10.5703125" bestFit="1" customWidth="1"/>
    <col min="11" max="11" width="11.140625" bestFit="1" customWidth="1"/>
    <col min="12" max="12" width="18.85546875" bestFit="1" customWidth="1"/>
    <col min="13" max="13" width="15.42578125" bestFit="1" customWidth="1"/>
    <col min="14" max="14" width="15.42578125" customWidth="1"/>
    <col min="15" max="15" width="17.7109375" bestFit="1" customWidth="1"/>
  </cols>
  <sheetData>
    <row r="1" spans="1:15">
      <c r="A1" t="s">
        <v>24</v>
      </c>
    </row>
    <row r="4" spans="1:15" ht="27" thickBot="1">
      <c r="A4" s="1" t="s">
        <v>0</v>
      </c>
      <c r="B4" s="11" t="s">
        <v>25</v>
      </c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12" t="s">
        <v>33</v>
      </c>
      <c r="K4" s="12" t="s">
        <v>34</v>
      </c>
      <c r="L4" s="12" t="s">
        <v>35</v>
      </c>
      <c r="M4" s="12" t="s">
        <v>8</v>
      </c>
      <c r="N4" s="12" t="s">
        <v>2</v>
      </c>
      <c r="O4" s="13" t="s">
        <v>15</v>
      </c>
    </row>
    <row r="5" spans="1:15">
      <c r="A5" s="5" t="s">
        <v>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101</v>
      </c>
      <c r="J5">
        <v>95</v>
      </c>
      <c r="K5">
        <v>98</v>
      </c>
      <c r="L5" s="3">
        <f>(SUM(B5:K5)-MIN(B5:K5))/9</f>
        <v>99.888888888888886</v>
      </c>
      <c r="M5">
        <v>98</v>
      </c>
      <c r="N5">
        <v>80</v>
      </c>
      <c r="O5" s="3">
        <f>(L5*0.3)+(M5*0.2)+(N5*0.5)</f>
        <v>89.566666666666663</v>
      </c>
    </row>
    <row r="6" spans="1:15">
      <c r="A6" s="5" t="s">
        <v>4</v>
      </c>
      <c r="B6">
        <v>98</v>
      </c>
      <c r="C6">
        <v>95</v>
      </c>
      <c r="D6">
        <v>96</v>
      </c>
      <c r="E6">
        <v>97</v>
      </c>
      <c r="F6">
        <v>94</v>
      </c>
      <c r="G6">
        <v>92</v>
      </c>
      <c r="H6">
        <v>93</v>
      </c>
      <c r="I6">
        <v>92</v>
      </c>
      <c r="J6">
        <v>91</v>
      </c>
      <c r="K6">
        <v>91</v>
      </c>
      <c r="L6" s="3">
        <f>(SUM(B6:K6)-SMALL(B6:K6,1))/9</f>
        <v>94.222222222222229</v>
      </c>
      <c r="M6">
        <v>89</v>
      </c>
      <c r="N6">
        <v>98</v>
      </c>
      <c r="O6" s="3">
        <f t="shared" ref="O6:O9" si="0">(L6*0.3)+(M6*0.2)+(N6*0.5)</f>
        <v>95.066666666666663</v>
      </c>
    </row>
    <row r="7" spans="1:15">
      <c r="A7" s="5" t="s">
        <v>5</v>
      </c>
      <c r="B7">
        <v>56</v>
      </c>
      <c r="C7">
        <v>65</v>
      </c>
      <c r="D7">
        <v>42</v>
      </c>
      <c r="E7">
        <v>24</v>
      </c>
      <c r="F7">
        <v>47</v>
      </c>
      <c r="G7">
        <v>85</v>
      </c>
      <c r="H7">
        <v>58</v>
      </c>
      <c r="I7">
        <v>67</v>
      </c>
      <c r="J7">
        <v>76</v>
      </c>
      <c r="K7">
        <v>0</v>
      </c>
      <c r="L7" s="3">
        <f t="shared" ref="L7:L9" si="1">(SUM(B7:K7)-SMALL(B7:K7,1))/9</f>
        <v>57.777777777777779</v>
      </c>
      <c r="M7">
        <v>67</v>
      </c>
      <c r="N7">
        <v>68</v>
      </c>
      <c r="O7" s="3">
        <f t="shared" si="0"/>
        <v>64.733333333333334</v>
      </c>
    </row>
    <row r="8" spans="1:15">
      <c r="A8" s="5" t="s">
        <v>6</v>
      </c>
      <c r="B8">
        <v>89</v>
      </c>
      <c r="C8">
        <v>98</v>
      </c>
      <c r="D8">
        <v>75</v>
      </c>
      <c r="E8">
        <v>57</v>
      </c>
      <c r="F8">
        <v>74</v>
      </c>
      <c r="G8">
        <v>47</v>
      </c>
      <c r="H8">
        <v>98</v>
      </c>
      <c r="I8">
        <v>97</v>
      </c>
      <c r="J8">
        <v>95</v>
      </c>
      <c r="K8">
        <v>96</v>
      </c>
      <c r="L8" s="3">
        <f t="shared" si="1"/>
        <v>86.555555555555557</v>
      </c>
      <c r="M8">
        <v>75</v>
      </c>
      <c r="N8">
        <v>74</v>
      </c>
      <c r="O8" s="3">
        <f t="shared" si="0"/>
        <v>77.966666666666669</v>
      </c>
    </row>
    <row r="9" spans="1:15">
      <c r="A9" s="5" t="s">
        <v>7</v>
      </c>
      <c r="B9">
        <v>89</v>
      </c>
      <c r="C9">
        <v>98</v>
      </c>
      <c r="D9">
        <v>78</v>
      </c>
      <c r="E9">
        <v>87</v>
      </c>
      <c r="F9">
        <v>45</v>
      </c>
      <c r="G9">
        <v>54</v>
      </c>
      <c r="H9">
        <v>65</v>
      </c>
      <c r="I9">
        <v>56</v>
      </c>
      <c r="J9">
        <v>58</v>
      </c>
      <c r="K9">
        <v>84</v>
      </c>
      <c r="L9" s="3">
        <f t="shared" si="1"/>
        <v>74.333333333333329</v>
      </c>
      <c r="M9">
        <v>85</v>
      </c>
      <c r="N9">
        <v>65</v>
      </c>
      <c r="O9" s="3">
        <f t="shared" si="0"/>
        <v>71.8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9"/>
  <sheetViews>
    <sheetView topLeftCell="C1" workbookViewId="0">
      <selection activeCell="O5" sqref="O5"/>
    </sheetView>
  </sheetViews>
  <sheetFormatPr defaultRowHeight="15"/>
  <cols>
    <col min="1" max="1" width="24.85546875" bestFit="1" customWidth="1"/>
    <col min="11" max="11" width="11.140625" bestFit="1" customWidth="1"/>
    <col min="12" max="12" width="16.42578125" bestFit="1" customWidth="1"/>
    <col min="13" max="13" width="13.42578125" bestFit="1" customWidth="1"/>
    <col min="14" max="14" width="7.140625" bestFit="1" customWidth="1"/>
    <col min="15" max="15" width="15.28515625" bestFit="1" customWidth="1"/>
  </cols>
  <sheetData>
    <row r="1" spans="1:15" ht="26.25">
      <c r="A1" s="7" t="s">
        <v>36</v>
      </c>
    </row>
    <row r="4" spans="1:15" ht="27" thickBot="1">
      <c r="A4" s="1" t="s">
        <v>0</v>
      </c>
      <c r="B4" s="11" t="s">
        <v>25</v>
      </c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12" t="s">
        <v>33</v>
      </c>
      <c r="K4" s="12" t="s">
        <v>34</v>
      </c>
      <c r="L4" s="12" t="s">
        <v>35</v>
      </c>
      <c r="M4" s="12" t="s">
        <v>8</v>
      </c>
      <c r="N4" s="12" t="s">
        <v>2</v>
      </c>
      <c r="O4" s="13" t="s">
        <v>15</v>
      </c>
    </row>
    <row r="5" spans="1:15">
      <c r="A5" s="5" t="s">
        <v>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101</v>
      </c>
      <c r="J5">
        <v>95</v>
      </c>
      <c r="K5">
        <v>98</v>
      </c>
      <c r="L5" s="3">
        <f>(SUM(B5:K5)-SMALL(B5:K5,1)-SMALL(B5:K5,2))/8</f>
        <v>100.125</v>
      </c>
      <c r="M5">
        <v>98</v>
      </c>
      <c r="N5">
        <v>80</v>
      </c>
      <c r="O5" s="3">
        <f>(L5*0.3)+(M5*0.2)+(N5*0.5)</f>
        <v>89.637500000000003</v>
      </c>
    </row>
    <row r="6" spans="1:15">
      <c r="A6" s="5" t="s">
        <v>4</v>
      </c>
      <c r="B6">
        <v>98</v>
      </c>
      <c r="C6">
        <v>95</v>
      </c>
      <c r="D6">
        <v>96</v>
      </c>
      <c r="E6">
        <v>97</v>
      </c>
      <c r="F6">
        <v>94</v>
      </c>
      <c r="G6">
        <v>92</v>
      </c>
      <c r="H6">
        <v>93</v>
      </c>
      <c r="I6">
        <v>92</v>
      </c>
      <c r="J6">
        <v>91</v>
      </c>
      <c r="K6">
        <v>91</v>
      </c>
      <c r="L6" s="3">
        <f t="shared" ref="L6:L9" si="0">(SUM(B6:K6)-SMALL(B6:K6,1)-SMALL(B6:K6,2))/8</f>
        <v>94.625</v>
      </c>
      <c r="M6">
        <v>89</v>
      </c>
      <c r="N6">
        <v>98</v>
      </c>
      <c r="O6" s="3">
        <f>(L6*0.3)+(M6*0.2)+(N6*0.5)</f>
        <v>95.1875</v>
      </c>
    </row>
    <row r="7" spans="1:15">
      <c r="A7" s="5" t="s">
        <v>5</v>
      </c>
      <c r="B7">
        <v>56</v>
      </c>
      <c r="C7">
        <v>65</v>
      </c>
      <c r="D7">
        <v>42</v>
      </c>
      <c r="E7">
        <v>24</v>
      </c>
      <c r="F7">
        <v>47</v>
      </c>
      <c r="G7">
        <v>85</v>
      </c>
      <c r="H7">
        <v>58</v>
      </c>
      <c r="I7">
        <v>67</v>
      </c>
      <c r="J7">
        <v>76</v>
      </c>
      <c r="K7">
        <v>0</v>
      </c>
      <c r="L7" s="3">
        <f t="shared" si="0"/>
        <v>62</v>
      </c>
      <c r="M7">
        <v>67</v>
      </c>
      <c r="N7">
        <v>68</v>
      </c>
      <c r="O7" s="3">
        <f>(L7*0.3)+(M7*0.2)+(N7*0.5)</f>
        <v>66</v>
      </c>
    </row>
    <row r="8" spans="1:15">
      <c r="A8" s="5" t="s">
        <v>6</v>
      </c>
      <c r="B8">
        <v>89</v>
      </c>
      <c r="C8">
        <v>98</v>
      </c>
      <c r="D8">
        <v>75</v>
      </c>
      <c r="E8">
        <v>57</v>
      </c>
      <c r="F8">
        <v>74</v>
      </c>
      <c r="G8">
        <v>47</v>
      </c>
      <c r="H8">
        <v>98</v>
      </c>
      <c r="I8">
        <v>97</v>
      </c>
      <c r="J8">
        <v>95</v>
      </c>
      <c r="K8">
        <v>96</v>
      </c>
      <c r="L8" s="3">
        <f t="shared" si="0"/>
        <v>90.25</v>
      </c>
      <c r="M8">
        <v>75</v>
      </c>
      <c r="N8">
        <v>74</v>
      </c>
      <c r="O8" s="3">
        <f>(L8*0.3)+(M8*0.2)+(N8*0.5)</f>
        <v>79.075000000000003</v>
      </c>
    </row>
    <row r="9" spans="1:15">
      <c r="A9" s="5" t="s">
        <v>7</v>
      </c>
      <c r="B9">
        <v>89</v>
      </c>
      <c r="C9">
        <v>98</v>
      </c>
      <c r="D9">
        <v>78</v>
      </c>
      <c r="E9">
        <v>87</v>
      </c>
      <c r="F9">
        <v>45</v>
      </c>
      <c r="G9">
        <v>54</v>
      </c>
      <c r="H9">
        <v>65</v>
      </c>
      <c r="I9">
        <v>56</v>
      </c>
      <c r="J9">
        <v>58</v>
      </c>
      <c r="K9">
        <v>84</v>
      </c>
      <c r="L9" s="3">
        <f t="shared" si="0"/>
        <v>76.875</v>
      </c>
      <c r="M9">
        <v>85</v>
      </c>
      <c r="N9">
        <v>65</v>
      </c>
      <c r="O9" s="3">
        <f>(L9*0.3)+(M9*0.2)+(N9*0.5)</f>
        <v>72.5625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G5" sqref="G5"/>
    </sheetView>
  </sheetViews>
  <sheetFormatPr defaultRowHeight="15"/>
  <cols>
    <col min="1" max="1" width="24.85546875" bestFit="1" customWidth="1"/>
    <col min="2" max="4" width="12.85546875" bestFit="1" customWidth="1"/>
    <col min="5" max="5" width="16" bestFit="1" customWidth="1"/>
    <col min="6" max="6" width="18.5703125" bestFit="1" customWidth="1"/>
    <col min="7" max="7" width="19.42578125" bestFit="1" customWidth="1"/>
  </cols>
  <sheetData>
    <row r="1" spans="1:7" ht="26.25">
      <c r="A1" s="7" t="s">
        <v>37</v>
      </c>
    </row>
    <row r="4" spans="1:7" ht="27" thickBot="1">
      <c r="A4" s="1" t="s">
        <v>0</v>
      </c>
      <c r="B4" s="14" t="s">
        <v>38</v>
      </c>
      <c r="C4" s="9" t="s">
        <v>39</v>
      </c>
      <c r="D4" s="9" t="s">
        <v>40</v>
      </c>
      <c r="E4" s="9" t="s">
        <v>21</v>
      </c>
      <c r="F4" s="9" t="s">
        <v>9</v>
      </c>
      <c r="G4" s="10" t="s">
        <v>15</v>
      </c>
    </row>
    <row r="5" spans="1:7">
      <c r="A5" s="5" t="s">
        <v>3</v>
      </c>
      <c r="B5">
        <v>95</v>
      </c>
      <c r="C5">
        <v>97</v>
      </c>
      <c r="D5">
        <v>98</v>
      </c>
      <c r="E5" s="3">
        <f>SUM(B5:D5)/3</f>
        <v>96.666666666666671</v>
      </c>
      <c r="F5">
        <v>95</v>
      </c>
      <c r="G5" s="3">
        <f>IF(F5&lt;E5,F5*0.5+E5*0.5,F5*(1/3)+E5*(2/3))</f>
        <v>95.833333333333343</v>
      </c>
    </row>
    <row r="6" spans="1:7">
      <c r="A6" s="5" t="s">
        <v>4</v>
      </c>
      <c r="B6">
        <v>87</v>
      </c>
      <c r="C6">
        <v>75</v>
      </c>
      <c r="D6">
        <v>62</v>
      </c>
      <c r="E6" s="3">
        <f t="shared" ref="E6:E9" si="0">SUM(B6:D6)/3</f>
        <v>74.666666666666671</v>
      </c>
      <c r="F6">
        <v>87</v>
      </c>
      <c r="G6" s="3">
        <f t="shared" ref="G6:G9" si="1">IF(F6&lt;E6,F6*0.5+E6*0.5,F6*(1/3)+E6*(2/3))</f>
        <v>78.777777777777771</v>
      </c>
    </row>
    <row r="7" spans="1:7">
      <c r="A7" s="5" t="s">
        <v>5</v>
      </c>
      <c r="B7">
        <v>85</v>
      </c>
      <c r="C7">
        <v>65</v>
      </c>
      <c r="D7">
        <v>64</v>
      </c>
      <c r="E7" s="3">
        <f t="shared" si="0"/>
        <v>71.333333333333329</v>
      </c>
      <c r="F7">
        <v>33</v>
      </c>
      <c r="G7" s="3">
        <f t="shared" si="1"/>
        <v>52.166666666666664</v>
      </c>
    </row>
    <row r="8" spans="1:7">
      <c r="A8" s="5" t="s">
        <v>6</v>
      </c>
      <c r="B8">
        <v>85</v>
      </c>
      <c r="C8">
        <v>74</v>
      </c>
      <c r="D8">
        <v>89</v>
      </c>
      <c r="E8" s="3">
        <f t="shared" si="0"/>
        <v>82.666666666666671</v>
      </c>
      <c r="F8">
        <v>71</v>
      </c>
      <c r="G8" s="3">
        <f t="shared" si="1"/>
        <v>76.833333333333343</v>
      </c>
    </row>
    <row r="9" spans="1:7">
      <c r="A9" s="5" t="s">
        <v>7</v>
      </c>
      <c r="B9">
        <v>87</v>
      </c>
      <c r="C9">
        <v>74</v>
      </c>
      <c r="D9">
        <v>81</v>
      </c>
      <c r="E9" s="3">
        <f t="shared" si="0"/>
        <v>80.666666666666671</v>
      </c>
      <c r="F9">
        <v>100</v>
      </c>
      <c r="G9" s="3">
        <f t="shared" si="1"/>
        <v>87.111111111111114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Matt</dc:creator>
  <cp:lastModifiedBy>Kent Pearce</cp:lastModifiedBy>
  <dcterms:created xsi:type="dcterms:W3CDTF">2011-10-06T19:15:12Z</dcterms:created>
  <dcterms:modified xsi:type="dcterms:W3CDTF">2011-10-27T20:22:32Z</dcterms:modified>
</cp:coreProperties>
</file>