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480" yWindow="75" windowWidth="14355" windowHeight="7995" firstSheet="2" activeTab="7"/>
  </bookViews>
  <sheets>
    <sheet name="Basic statistics Page 1" sheetId="1" r:id="rId1"/>
    <sheet name="Scenario 1" sheetId="4" r:id="rId2"/>
    <sheet name="Scenario 2" sheetId="5" r:id="rId3"/>
    <sheet name="Scenario 3" sheetId="6" r:id="rId4"/>
    <sheet name="Scenario 4" sheetId="7" r:id="rId5"/>
    <sheet name="Scenario 5" sheetId="8" r:id="rId6"/>
    <sheet name="Scenario 6" sheetId="9" r:id="rId7"/>
    <sheet name="GPA pg. 3" sheetId="2" r:id="rId8"/>
  </sheets>
  <definedNames>
    <definedName name="_xlnm._FilterDatabase" localSheetId="0" hidden="1">'Basic statistics Page 1'!$B$3:$B$20</definedName>
  </definedNames>
  <calcPr calcId="125725"/>
</workbook>
</file>

<file path=xl/calcChain.xml><?xml version="1.0" encoding="utf-8"?>
<calcChain xmlns="http://schemas.openxmlformats.org/spreadsheetml/2006/main">
  <c r="E2" i="9"/>
  <c r="H2" s="1"/>
  <c r="E3"/>
  <c r="H3" s="1"/>
  <c r="E4"/>
  <c r="H4" s="1"/>
  <c r="E5"/>
  <c r="H5" s="1"/>
  <c r="E6"/>
  <c r="H6" s="1"/>
  <c r="B10"/>
  <c r="C10"/>
  <c r="D10"/>
  <c r="E10"/>
  <c r="F10"/>
  <c r="B11"/>
  <c r="C11"/>
  <c r="D11"/>
  <c r="E11"/>
  <c r="F11"/>
  <c r="M2" i="8"/>
  <c r="Q2" s="1"/>
  <c r="M3"/>
  <c r="Q3" s="1"/>
  <c r="M4"/>
  <c r="Q4" s="1"/>
  <c r="M5"/>
  <c r="Q5" s="1"/>
  <c r="M6"/>
  <c r="Q6" s="1"/>
  <c r="B10"/>
  <c r="C10"/>
  <c r="D10"/>
  <c r="E10"/>
  <c r="F10"/>
  <c r="G10"/>
  <c r="H10"/>
  <c r="I10"/>
  <c r="J10"/>
  <c r="K10"/>
  <c r="M10"/>
  <c r="N10"/>
  <c r="O10"/>
  <c r="B11"/>
  <c r="C11"/>
  <c r="D11"/>
  <c r="E11"/>
  <c r="F11"/>
  <c r="G11"/>
  <c r="H11"/>
  <c r="I11"/>
  <c r="J11"/>
  <c r="K11"/>
  <c r="M11"/>
  <c r="N11"/>
  <c r="O11"/>
  <c r="M2" i="7"/>
  <c r="Q2" s="1"/>
  <c r="M3"/>
  <c r="Q3" s="1"/>
  <c r="M4"/>
  <c r="Q4" s="1"/>
  <c r="M5"/>
  <c r="Q5" s="1"/>
  <c r="M6"/>
  <c r="Q6" s="1"/>
  <c r="B10"/>
  <c r="C10"/>
  <c r="D10"/>
  <c r="E10"/>
  <c r="F10"/>
  <c r="G10"/>
  <c r="H10"/>
  <c r="I10"/>
  <c r="J10"/>
  <c r="K10"/>
  <c r="M10"/>
  <c r="N10"/>
  <c r="O10"/>
  <c r="B11"/>
  <c r="C11"/>
  <c r="D11"/>
  <c r="E11"/>
  <c r="F11"/>
  <c r="G11"/>
  <c r="H11"/>
  <c r="I11"/>
  <c r="J11"/>
  <c r="K11"/>
  <c r="M11"/>
  <c r="N11"/>
  <c r="O11"/>
  <c r="E2" i="6"/>
  <c r="F2" s="1"/>
  <c r="E3"/>
  <c r="F3" s="1"/>
  <c r="E4"/>
  <c r="F4" s="1"/>
  <c r="E5"/>
  <c r="F5" s="1"/>
  <c r="E6"/>
  <c r="F6" s="1"/>
  <c r="B10"/>
  <c r="C10"/>
  <c r="D10"/>
  <c r="E10"/>
  <c r="B11"/>
  <c r="C11"/>
  <c r="D11"/>
  <c r="E11"/>
  <c r="G2" i="5"/>
  <c r="H2" s="1"/>
  <c r="G3"/>
  <c r="H3" s="1"/>
  <c r="G4"/>
  <c r="H4" s="1"/>
  <c r="G5"/>
  <c r="H5" s="1"/>
  <c r="G6"/>
  <c r="H6" s="1"/>
  <c r="B10"/>
  <c r="C10"/>
  <c r="D10"/>
  <c r="E10"/>
  <c r="F10"/>
  <c r="G10"/>
  <c r="B11"/>
  <c r="C11"/>
  <c r="D11"/>
  <c r="E11"/>
  <c r="F11"/>
  <c r="G11"/>
  <c r="I2" i="4"/>
  <c r="I3"/>
  <c r="I4"/>
  <c r="I5"/>
  <c r="I6"/>
  <c r="B10"/>
  <c r="C10"/>
  <c r="D10"/>
  <c r="E10"/>
  <c r="F10"/>
  <c r="G10"/>
  <c r="H10"/>
  <c r="I10"/>
  <c r="B11"/>
  <c r="C11"/>
  <c r="D11"/>
  <c r="E11"/>
  <c r="F11"/>
  <c r="G11"/>
  <c r="H11"/>
  <c r="I11"/>
  <c r="H10" i="9" l="1"/>
  <c r="H11"/>
  <c r="Q10" i="8"/>
  <c r="Q11"/>
  <c r="Q10" i="7"/>
  <c r="Q11"/>
  <c r="F10" i="6"/>
  <c r="F11"/>
  <c r="H10" i="5"/>
  <c r="H11"/>
  <c r="C25" i="1" l="1"/>
  <c r="B25"/>
  <c r="B26"/>
  <c r="C26"/>
  <c r="C3" l="1"/>
  <c r="C4"/>
  <c r="C5"/>
  <c r="C6"/>
  <c r="C7"/>
  <c r="C8"/>
  <c r="C9"/>
  <c r="C10"/>
  <c r="C11"/>
  <c r="C12"/>
  <c r="C13"/>
  <c r="C14"/>
  <c r="C15"/>
  <c r="C16"/>
  <c r="C17"/>
  <c r="C18"/>
  <c r="C19"/>
  <c r="C20"/>
  <c r="B23"/>
  <c r="C22"/>
  <c r="B22"/>
</calcChain>
</file>

<file path=xl/sharedStrings.xml><?xml version="1.0" encoding="utf-8"?>
<sst xmlns="http://schemas.openxmlformats.org/spreadsheetml/2006/main" count="163" uniqueCount="73">
  <si>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Find the mean and median of the scores.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</si>
  <si>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Find the standard deviation of the scores.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</si>
  <si>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What can you say about the scores so far?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</si>
  <si>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What is the maximum score in this set?  What is the minimum?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</si>
  <si>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What are the 1</t>
    </r>
    <r>
      <rPr>
        <vertAlign val="superscript"/>
        <sz val="12"/>
        <color theme="1"/>
        <rFont val="Calibri"/>
        <family val="2"/>
        <scheme val="minor"/>
      </rPr>
      <t>st</t>
    </r>
    <r>
      <rPr>
        <sz val="12"/>
        <color theme="1"/>
        <rFont val="Calibri"/>
        <family val="2"/>
        <scheme val="minor"/>
      </rPr>
      <t xml:space="preserve"> and 3</t>
    </r>
    <r>
      <rPr>
        <vertAlign val="superscript"/>
        <sz val="12"/>
        <color theme="1"/>
        <rFont val="Calibri"/>
        <family val="2"/>
        <scheme val="minor"/>
      </rPr>
      <t>rd</t>
    </r>
    <r>
      <rPr>
        <sz val="12"/>
        <color theme="1"/>
        <rFont val="Calibri"/>
        <family val="2"/>
        <scheme val="minor"/>
      </rPr>
      <t xml:space="preserve"> quartiles?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</si>
  <si>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What can you say about the scores now?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</si>
  <si>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If these score represented your class, what would you think?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</si>
  <si>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Create a histogram from this data.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</si>
  <si>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Make a frequency table, grouping the scores by 10’s.  </t>
    </r>
  </si>
  <si>
    <t>The scores are range from 22-73 and a little heavier on the high side.</t>
  </si>
  <si>
    <t>20's</t>
  </si>
  <si>
    <t>30's</t>
  </si>
  <si>
    <t>50's</t>
  </si>
  <si>
    <t>60's</t>
  </si>
  <si>
    <t>70's</t>
  </si>
  <si>
    <t>I would say 4 of the students didn’t study. 3/4 of my peers passed</t>
  </si>
  <si>
    <t>40's</t>
  </si>
  <si>
    <t>GPA</t>
  </si>
  <si>
    <t>Hours Sleeping</t>
  </si>
  <si>
    <t>Hours Studying</t>
  </si>
  <si>
    <t>The majority of the data is closer to the 3rd quartiler than to the 1st quartile.</t>
  </si>
  <si>
    <t>Frequency Table</t>
  </si>
  <si>
    <t>Score out of a possible 75</t>
  </si>
  <si>
    <t>Std. Deviation</t>
  </si>
  <si>
    <t>Means</t>
  </si>
  <si>
    <t>Possible Points</t>
  </si>
  <si>
    <t>A</t>
  </si>
  <si>
    <t>Student 5</t>
  </si>
  <si>
    <t>Student 4</t>
  </si>
  <si>
    <t>Student 3</t>
  </si>
  <si>
    <t>Student 2</t>
  </si>
  <si>
    <t>Student 1</t>
  </si>
  <si>
    <t>Letter Grade</t>
  </si>
  <si>
    <t>Course Average</t>
  </si>
  <si>
    <t>Total Points</t>
  </si>
  <si>
    <t>Final 100pts.</t>
  </si>
  <si>
    <t>Statistic Project 100pts.</t>
  </si>
  <si>
    <t>Hitorical Project 100pts.</t>
  </si>
  <si>
    <t>9 lab projects 450 pts</t>
  </si>
  <si>
    <t>Mid-Term 100pts.</t>
  </si>
  <si>
    <t>Std Deviation</t>
  </si>
  <si>
    <t xml:space="preserve">             A</t>
  </si>
  <si>
    <t xml:space="preserve">             B</t>
  </si>
  <si>
    <t>Final (25%)</t>
  </si>
  <si>
    <t xml:space="preserve">Homework (15%) </t>
  </si>
  <si>
    <t>Test 3 (20%)</t>
  </si>
  <si>
    <t>Test 2 (20%)</t>
  </si>
  <si>
    <t>Test 1 (20%)</t>
  </si>
  <si>
    <t xml:space="preserve">Total Points </t>
  </si>
  <si>
    <t>Final (50%)</t>
  </si>
  <si>
    <t>Midterm (25%)</t>
  </si>
  <si>
    <t>Homework (25%)</t>
  </si>
  <si>
    <t>B</t>
  </si>
  <si>
    <t>Midterm (20%)</t>
  </si>
  <si>
    <t>Homework (30%)</t>
  </si>
  <si>
    <t>Homework 10</t>
  </si>
  <si>
    <t>Homework 9</t>
  </si>
  <si>
    <t>Homework 8</t>
  </si>
  <si>
    <t>Homework 7</t>
  </si>
  <si>
    <t>Homework 6</t>
  </si>
  <si>
    <t>Homework 5</t>
  </si>
  <si>
    <t>Homework 4</t>
  </si>
  <si>
    <t>Homework 3</t>
  </si>
  <si>
    <t>Homework 2</t>
  </si>
  <si>
    <t>Homework 1</t>
  </si>
  <si>
    <t xml:space="preserve">Letter Grade </t>
  </si>
  <si>
    <t>Final Exam (50 or 33%)</t>
  </si>
  <si>
    <t>Exam Average(50 or 66%)</t>
  </si>
  <si>
    <t>Exam 3 (20%)</t>
  </si>
  <si>
    <t>Exam 2 (20%)</t>
  </si>
  <si>
    <t>Exam 1 (20%)</t>
  </si>
  <si>
    <t>27 out of 27</t>
  </si>
  <si>
    <t>correlation coefficients ??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</si>
</sst>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  <font>
      <vertAlign val="superscript"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horizontal="left" vertical="center" indent="5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0" fillId="0" borderId="3" xfId="0" applyBorder="1"/>
    <xf numFmtId="0" fontId="0" fillId="0" borderId="3" xfId="0" applyFont="1" applyBorder="1" applyAlignment="1">
      <alignment horizontal="right"/>
    </xf>
    <xf numFmtId="0" fontId="0" fillId="0" borderId="2" xfId="0" applyBorder="1"/>
    <xf numFmtId="0" fontId="0" fillId="0" borderId="0" xfId="0" applyAlignment="1"/>
    <xf numFmtId="0" fontId="7" fillId="0" borderId="0" xfId="0" applyFont="1" applyAlignment="1">
      <alignment horizontal="center" vertical="top"/>
    </xf>
    <xf numFmtId="0" fontId="6" fillId="0" borderId="0" xfId="0" applyFont="1"/>
    <xf numFmtId="2" fontId="0" fillId="0" borderId="0" xfId="0" applyNumberFormat="1"/>
    <xf numFmtId="9" fontId="0" fillId="0" borderId="0" xfId="1" applyFont="1"/>
    <xf numFmtId="9" fontId="0" fillId="0" borderId="0" xfId="0" applyNumberFormat="1"/>
    <xf numFmtId="164" fontId="0" fillId="0" borderId="0" xfId="0" applyNumberFormat="1"/>
    <xf numFmtId="0" fontId="1" fillId="0" borderId="0" xfId="0" applyFont="1"/>
    <xf numFmtId="0" fontId="1" fillId="0" borderId="0" xfId="0" applyFont="1" applyAlignment="1"/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  <a:r>
              <a:rPr lang="en-US" baseline="0"/>
              <a:t> of Scores</a:t>
            </a:r>
            <a:endParaRPr lang="en-US"/>
          </a:p>
        </c:rich>
      </c:tx>
      <c:overlay val="1"/>
    </c:title>
    <c:plotArea>
      <c:layout/>
      <c:barChart>
        <c:barDir val="col"/>
        <c:grouping val="clustered"/>
        <c:ser>
          <c:idx val="0"/>
          <c:order val="0"/>
          <c:cat>
            <c:strRef>
              <c:f>'Basic statistics Page 1'!$E$15:$E$20</c:f>
              <c:strCache>
                <c:ptCount val="6"/>
                <c:pt idx="0">
                  <c:v>20's</c:v>
                </c:pt>
                <c:pt idx="1">
                  <c:v>30's</c:v>
                </c:pt>
                <c:pt idx="2">
                  <c:v>40's</c:v>
                </c:pt>
                <c:pt idx="3">
                  <c:v>50's</c:v>
                </c:pt>
                <c:pt idx="4">
                  <c:v>60's</c:v>
                </c:pt>
                <c:pt idx="5">
                  <c:v>70's</c:v>
                </c:pt>
              </c:strCache>
            </c:strRef>
          </c:cat>
          <c:val>
            <c:numRef>
              <c:f>'Basic statistics Page 1'!$F$15:$F$20</c:f>
              <c:numCache>
                <c:formatCode>General</c:formatCode>
                <c:ptCount val="6"/>
                <c:pt idx="0">
                  <c:v>3</c:v>
                </c:pt>
                <c:pt idx="1">
                  <c:v>1</c:v>
                </c:pt>
                <c:pt idx="2">
                  <c:v>0</c:v>
                </c:pt>
                <c:pt idx="3">
                  <c:v>4</c:v>
                </c:pt>
                <c:pt idx="4">
                  <c:v>6</c:v>
                </c:pt>
                <c:pt idx="5">
                  <c:v>4</c:v>
                </c:pt>
              </c:numCache>
            </c:numRef>
          </c:val>
        </c:ser>
        <c:axId val="84655104"/>
        <c:axId val="85000960"/>
      </c:barChart>
      <c:catAx>
        <c:axId val="84655104"/>
        <c:scaling>
          <c:orientation val="minMax"/>
        </c:scaling>
        <c:axPos val="b"/>
        <c:tickLblPos val="nextTo"/>
        <c:crossAx val="85000960"/>
        <c:crosses val="autoZero"/>
        <c:auto val="1"/>
        <c:lblAlgn val="ctr"/>
        <c:lblOffset val="100"/>
      </c:catAx>
      <c:valAx>
        <c:axId val="85000960"/>
        <c:scaling>
          <c:orientation val="minMax"/>
        </c:scaling>
        <c:axPos val="l"/>
        <c:majorGridlines/>
        <c:numFmt formatCode="General" sourceLinked="1"/>
        <c:tickLblPos val="nextTo"/>
        <c:crossAx val="84655104"/>
        <c:crosses val="autoZero"/>
        <c:crossBetween val="between"/>
      </c:valAx>
    </c:plotArea>
    <c:plotVisOnly val="1"/>
    <c:dispBlanksAs val="gap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Hours of Sleep</a:t>
            </a:r>
            <a:r>
              <a:rPr lang="en-US" baseline="0"/>
              <a:t> to GPA</a:t>
            </a:r>
            <a:r>
              <a:rPr lang="en-US"/>
              <a:t> 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'GPA pg. 3'!$D$2</c:f>
              <c:strCache>
                <c:ptCount val="1"/>
                <c:pt idx="0">
                  <c:v>GPA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trendlineLbl>
              <c:layout>
                <c:manualLayout>
                  <c:x val="6.9072615923009711E-4"/>
                  <c:y val="9.6466899970837044E-2"/>
                </c:manualLayout>
              </c:layout>
              <c:numFmt formatCode="General" sourceLinked="0"/>
            </c:trendlineLbl>
          </c:trendline>
          <c:xVal>
            <c:numRef>
              <c:f>'GPA pg. 3'!$B$3:$B$12</c:f>
              <c:numCache>
                <c:formatCode>General</c:formatCode>
                <c:ptCount val="10"/>
                <c:pt idx="0">
                  <c:v>6.3</c:v>
                </c:pt>
                <c:pt idx="1">
                  <c:v>8.6999999999999993</c:v>
                </c:pt>
                <c:pt idx="2">
                  <c:v>8.5</c:v>
                </c:pt>
                <c:pt idx="3">
                  <c:v>7.2</c:v>
                </c:pt>
                <c:pt idx="4">
                  <c:v>6.2</c:v>
                </c:pt>
                <c:pt idx="5">
                  <c:v>7.3</c:v>
                </c:pt>
                <c:pt idx="6">
                  <c:v>7.1</c:v>
                </c:pt>
                <c:pt idx="7">
                  <c:v>7.6</c:v>
                </c:pt>
                <c:pt idx="8">
                  <c:v>6.9</c:v>
                </c:pt>
                <c:pt idx="9">
                  <c:v>6.7</c:v>
                </c:pt>
              </c:numCache>
            </c:numRef>
          </c:xVal>
          <c:yVal>
            <c:numRef>
              <c:f>'GPA pg. 3'!$D$3:$D$12</c:f>
              <c:numCache>
                <c:formatCode>General</c:formatCode>
                <c:ptCount val="10"/>
                <c:pt idx="0">
                  <c:v>2.7</c:v>
                </c:pt>
                <c:pt idx="1">
                  <c:v>2.9</c:v>
                </c:pt>
                <c:pt idx="2">
                  <c:v>3.9</c:v>
                </c:pt>
                <c:pt idx="3">
                  <c:v>3.7</c:v>
                </c:pt>
                <c:pt idx="4">
                  <c:v>4</c:v>
                </c:pt>
                <c:pt idx="5">
                  <c:v>3</c:v>
                </c:pt>
                <c:pt idx="6">
                  <c:v>3.1</c:v>
                </c:pt>
                <c:pt idx="7">
                  <c:v>3.2</c:v>
                </c:pt>
                <c:pt idx="8">
                  <c:v>3.5</c:v>
                </c:pt>
                <c:pt idx="9">
                  <c:v>2.4</c:v>
                </c:pt>
              </c:numCache>
            </c:numRef>
          </c:yVal>
        </c:ser>
        <c:axId val="87823872"/>
        <c:axId val="87825408"/>
      </c:scatterChart>
      <c:valAx>
        <c:axId val="87823872"/>
        <c:scaling>
          <c:orientation val="minMax"/>
        </c:scaling>
        <c:axPos val="b"/>
        <c:numFmt formatCode="General" sourceLinked="1"/>
        <c:tickLblPos val="nextTo"/>
        <c:crossAx val="87825408"/>
        <c:crosses val="autoZero"/>
        <c:crossBetween val="midCat"/>
      </c:valAx>
      <c:valAx>
        <c:axId val="87825408"/>
        <c:scaling>
          <c:orientation val="minMax"/>
        </c:scaling>
        <c:axPos val="l"/>
        <c:majorGridlines/>
        <c:numFmt formatCode="General" sourceLinked="1"/>
        <c:tickLblPos val="nextTo"/>
        <c:crossAx val="87823872"/>
        <c:crosses val="autoZero"/>
        <c:crossBetween val="midCat"/>
      </c:valAx>
    </c:plotArea>
    <c:plotVisOnly val="1"/>
    <c:dispBlanksAs val="gap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Hours of Studying to GPA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'GPA pg. 3'!$D$2</c:f>
              <c:strCache>
                <c:ptCount val="1"/>
                <c:pt idx="0">
                  <c:v>GPA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trendlineLbl>
              <c:layout>
                <c:manualLayout>
                  <c:x val="-1.156167979002626E-3"/>
                  <c:y val="0.12464093030037912"/>
                </c:manualLayout>
              </c:layout>
              <c:numFmt formatCode="General" sourceLinked="0"/>
            </c:trendlineLbl>
          </c:trendline>
          <c:xVal>
            <c:numRef>
              <c:f>'GPA pg. 3'!$C$3:$C$12</c:f>
              <c:numCache>
                <c:formatCode>General</c:formatCode>
                <c:ptCount val="10"/>
                <c:pt idx="0">
                  <c:v>1.2</c:v>
                </c:pt>
                <c:pt idx="1">
                  <c:v>1.5</c:v>
                </c:pt>
                <c:pt idx="2">
                  <c:v>3.4</c:v>
                </c:pt>
                <c:pt idx="3">
                  <c:v>2.2999999999999998</c:v>
                </c:pt>
                <c:pt idx="4">
                  <c:v>4.2</c:v>
                </c:pt>
                <c:pt idx="5">
                  <c:v>1.4</c:v>
                </c:pt>
                <c:pt idx="6">
                  <c:v>2.2000000000000002</c:v>
                </c:pt>
                <c:pt idx="7">
                  <c:v>2</c:v>
                </c:pt>
                <c:pt idx="8">
                  <c:v>2.7</c:v>
                </c:pt>
                <c:pt idx="9">
                  <c:v>0.8</c:v>
                </c:pt>
              </c:numCache>
            </c:numRef>
          </c:xVal>
          <c:yVal>
            <c:numRef>
              <c:f>'GPA pg. 3'!$D$3:$D$12</c:f>
              <c:numCache>
                <c:formatCode>General</c:formatCode>
                <c:ptCount val="10"/>
                <c:pt idx="0">
                  <c:v>2.7</c:v>
                </c:pt>
                <c:pt idx="1">
                  <c:v>2.9</c:v>
                </c:pt>
                <c:pt idx="2">
                  <c:v>3.9</c:v>
                </c:pt>
                <c:pt idx="3">
                  <c:v>3.7</c:v>
                </c:pt>
                <c:pt idx="4">
                  <c:v>4</c:v>
                </c:pt>
                <c:pt idx="5">
                  <c:v>3</c:v>
                </c:pt>
                <c:pt idx="6">
                  <c:v>3.1</c:v>
                </c:pt>
                <c:pt idx="7">
                  <c:v>3.2</c:v>
                </c:pt>
                <c:pt idx="8">
                  <c:v>3.5</c:v>
                </c:pt>
                <c:pt idx="9">
                  <c:v>2.4</c:v>
                </c:pt>
              </c:numCache>
            </c:numRef>
          </c:yVal>
        </c:ser>
        <c:axId val="87858176"/>
        <c:axId val="87868160"/>
      </c:scatterChart>
      <c:valAx>
        <c:axId val="87858176"/>
        <c:scaling>
          <c:orientation val="minMax"/>
        </c:scaling>
        <c:axPos val="b"/>
        <c:numFmt formatCode="General" sourceLinked="1"/>
        <c:tickLblPos val="nextTo"/>
        <c:crossAx val="87868160"/>
        <c:crosses val="autoZero"/>
        <c:crossBetween val="midCat"/>
      </c:valAx>
      <c:valAx>
        <c:axId val="87868160"/>
        <c:scaling>
          <c:orientation val="minMax"/>
        </c:scaling>
        <c:axPos val="l"/>
        <c:majorGridlines/>
        <c:numFmt formatCode="General" sourceLinked="1"/>
        <c:tickLblPos val="nextTo"/>
        <c:crossAx val="87858176"/>
        <c:crosses val="autoZero"/>
        <c:crossBetween val="midCat"/>
      </c:valAx>
    </c:plotArea>
    <c:plotVisOnly val="1"/>
    <c:dispBlanksAs val="gap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Hours</a:t>
            </a:r>
            <a:r>
              <a:rPr lang="en-US" baseline="0"/>
              <a:t> of Sleep vs Hours of Studying</a:t>
            </a:r>
            <a:endParaRPr lang="en-US"/>
          </a:p>
        </c:rich>
      </c:tx>
      <c:layout>
        <c:manualLayout>
          <c:xMode val="edge"/>
          <c:yMode val="edge"/>
          <c:x val="0.11275000000000002"/>
          <c:y val="2.7777777777777811E-2"/>
        </c:manualLayout>
      </c:layout>
    </c:title>
    <c:plotArea>
      <c:layout/>
      <c:scatterChart>
        <c:scatterStyle val="lineMarker"/>
        <c:ser>
          <c:idx val="0"/>
          <c:order val="0"/>
          <c:tx>
            <c:strRef>
              <c:f>'GPA pg. 3'!$C$2</c:f>
              <c:strCache>
                <c:ptCount val="1"/>
                <c:pt idx="0">
                  <c:v>Hours Studying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trendlineLbl>
              <c:layout>
                <c:manualLayout>
                  <c:x val="3.402405949256343E-2"/>
                  <c:y val="-8.7861256926217532E-2"/>
                </c:manualLayout>
              </c:layout>
              <c:numFmt formatCode="General" sourceLinked="0"/>
            </c:trendlineLbl>
          </c:trendline>
          <c:xVal>
            <c:numRef>
              <c:f>'GPA pg. 3'!$B$3:$B$12</c:f>
              <c:numCache>
                <c:formatCode>General</c:formatCode>
                <c:ptCount val="10"/>
                <c:pt idx="0">
                  <c:v>6.3</c:v>
                </c:pt>
                <c:pt idx="1">
                  <c:v>8.6999999999999993</c:v>
                </c:pt>
                <c:pt idx="2">
                  <c:v>8.5</c:v>
                </c:pt>
                <c:pt idx="3">
                  <c:v>7.2</c:v>
                </c:pt>
                <c:pt idx="4">
                  <c:v>6.2</c:v>
                </c:pt>
                <c:pt idx="5">
                  <c:v>7.3</c:v>
                </c:pt>
                <c:pt idx="6">
                  <c:v>7.1</c:v>
                </c:pt>
                <c:pt idx="7">
                  <c:v>7.6</c:v>
                </c:pt>
                <c:pt idx="8">
                  <c:v>6.9</c:v>
                </c:pt>
                <c:pt idx="9">
                  <c:v>6.7</c:v>
                </c:pt>
              </c:numCache>
            </c:numRef>
          </c:xVal>
          <c:yVal>
            <c:numRef>
              <c:f>'GPA pg. 3'!$C$3:$C$12</c:f>
              <c:numCache>
                <c:formatCode>General</c:formatCode>
                <c:ptCount val="10"/>
                <c:pt idx="0">
                  <c:v>1.2</c:v>
                </c:pt>
                <c:pt idx="1">
                  <c:v>1.5</c:v>
                </c:pt>
                <c:pt idx="2">
                  <c:v>3.4</c:v>
                </c:pt>
                <c:pt idx="3">
                  <c:v>2.2999999999999998</c:v>
                </c:pt>
                <c:pt idx="4">
                  <c:v>4.2</c:v>
                </c:pt>
                <c:pt idx="5">
                  <c:v>1.4</c:v>
                </c:pt>
                <c:pt idx="6">
                  <c:v>2.2000000000000002</c:v>
                </c:pt>
                <c:pt idx="7">
                  <c:v>2</c:v>
                </c:pt>
                <c:pt idx="8">
                  <c:v>2.7</c:v>
                </c:pt>
                <c:pt idx="9">
                  <c:v>0.8</c:v>
                </c:pt>
              </c:numCache>
            </c:numRef>
          </c:yVal>
        </c:ser>
        <c:axId val="89027328"/>
        <c:axId val="89028864"/>
      </c:scatterChart>
      <c:valAx>
        <c:axId val="89027328"/>
        <c:scaling>
          <c:orientation val="minMax"/>
        </c:scaling>
        <c:axPos val="b"/>
        <c:numFmt formatCode="General" sourceLinked="1"/>
        <c:tickLblPos val="nextTo"/>
        <c:crossAx val="89028864"/>
        <c:crosses val="autoZero"/>
        <c:crossBetween val="midCat"/>
      </c:valAx>
      <c:valAx>
        <c:axId val="89028864"/>
        <c:scaling>
          <c:orientation val="minMax"/>
        </c:scaling>
        <c:axPos val="l"/>
        <c:majorGridlines/>
        <c:numFmt formatCode="General" sourceLinked="1"/>
        <c:tickLblPos val="nextTo"/>
        <c:crossAx val="89027328"/>
        <c:crosses val="autoZero"/>
        <c:crossBetween val="midCat"/>
      </c:valAx>
    </c:plotArea>
    <c:plotVisOnly val="1"/>
    <c:dispBlanksAs val="gap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202407</xdr:colOff>
      <xdr:row>3</xdr:row>
      <xdr:rowOff>39289</xdr:rowOff>
    </xdr:from>
    <xdr:to>
      <xdr:col>1</xdr:col>
      <xdr:colOff>1</xdr:colOff>
      <xdr:row>17</xdr:row>
      <xdr:rowOff>115489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1</xdr:row>
      <xdr:rowOff>90487</xdr:rowOff>
    </xdr:from>
    <xdr:to>
      <xdr:col>14</xdr:col>
      <xdr:colOff>381000</xdr:colOff>
      <xdr:row>15</xdr:row>
      <xdr:rowOff>166687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66675</xdr:colOff>
      <xdr:row>16</xdr:row>
      <xdr:rowOff>90487</xdr:rowOff>
    </xdr:from>
    <xdr:to>
      <xdr:col>14</xdr:col>
      <xdr:colOff>371475</xdr:colOff>
      <xdr:row>30</xdr:row>
      <xdr:rowOff>166687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104775</xdr:colOff>
      <xdr:row>16</xdr:row>
      <xdr:rowOff>90487</xdr:rowOff>
    </xdr:from>
    <xdr:to>
      <xdr:col>7</xdr:col>
      <xdr:colOff>19050</xdr:colOff>
      <xdr:row>30</xdr:row>
      <xdr:rowOff>166687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587748</xdr:colOff>
      <xdr:row>31</xdr:row>
      <xdr:rowOff>187138</xdr:rowOff>
    </xdr:from>
    <xdr:to>
      <xdr:col>11</xdr:col>
      <xdr:colOff>378198</xdr:colOff>
      <xdr:row>37</xdr:row>
      <xdr:rowOff>63313</xdr:rowOff>
    </xdr:to>
    <xdr:sp macro="" textlink="">
      <xdr:nvSpPr>
        <xdr:cNvPr id="4" name="TextBox 3"/>
        <xdr:cNvSpPr txBox="1"/>
      </xdr:nvSpPr>
      <xdr:spPr>
        <a:xfrm>
          <a:off x="587748" y="6092638"/>
          <a:ext cx="6861362" cy="1019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There is a great correlation for Hours of Studying to GPA. Generally, the more studying the student did the higher the GPA was. There is a slight correlation between the Hours of Sleep to GPA. There is a negative correlation between Hours of Sleep and Hours of Studying. From what I can tell, the more time you spent studying and sleeping the better your GPA should be.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35"/>
  <sheetViews>
    <sheetView topLeftCell="A2" zoomScale="80" zoomScaleNormal="80" workbookViewId="0">
      <selection activeCell="A35" sqref="A35"/>
    </sheetView>
  </sheetViews>
  <sheetFormatPr defaultRowHeight="15"/>
  <cols>
    <col min="1" max="1" width="75.28515625" customWidth="1"/>
    <col min="2" max="2" width="7.5703125" customWidth="1"/>
    <col min="4" max="4" width="7.140625" customWidth="1"/>
    <col min="5" max="5" width="5" bestFit="1" customWidth="1"/>
    <col min="6" max="6" width="10.7109375" customWidth="1"/>
  </cols>
  <sheetData>
    <row r="2" spans="1:6">
      <c r="B2" s="3" t="s">
        <v>22</v>
      </c>
      <c r="C2" s="3"/>
      <c r="D2" s="3"/>
      <c r="E2" s="3"/>
    </row>
    <row r="3" spans="1:6" ht="26.25">
      <c r="A3" s="10">
        <v>9</v>
      </c>
      <c r="B3" s="4">
        <v>22</v>
      </c>
      <c r="C3">
        <f t="shared" ref="C3:C19" si="0">B3/75</f>
        <v>0.29333333333333333</v>
      </c>
    </row>
    <row r="4" spans="1:6">
      <c r="B4" s="5">
        <v>25</v>
      </c>
      <c r="C4">
        <f t="shared" si="0"/>
        <v>0.33333333333333331</v>
      </c>
    </row>
    <row r="5" spans="1:6">
      <c r="B5" s="5">
        <v>29</v>
      </c>
      <c r="C5">
        <f t="shared" si="0"/>
        <v>0.38666666666666666</v>
      </c>
    </row>
    <row r="6" spans="1:6">
      <c r="B6" s="5">
        <v>32</v>
      </c>
      <c r="C6">
        <f t="shared" si="0"/>
        <v>0.42666666666666669</v>
      </c>
    </row>
    <row r="7" spans="1:6">
      <c r="B7" s="5">
        <v>51</v>
      </c>
      <c r="C7">
        <f t="shared" si="0"/>
        <v>0.68</v>
      </c>
    </row>
    <row r="8" spans="1:6">
      <c r="B8" s="5">
        <v>55</v>
      </c>
      <c r="C8">
        <f t="shared" si="0"/>
        <v>0.73333333333333328</v>
      </c>
    </row>
    <row r="9" spans="1:6">
      <c r="B9" s="5">
        <v>55</v>
      </c>
      <c r="C9">
        <f t="shared" si="0"/>
        <v>0.73333333333333328</v>
      </c>
    </row>
    <row r="10" spans="1:6">
      <c r="B10" s="5">
        <v>56</v>
      </c>
      <c r="C10">
        <f t="shared" si="0"/>
        <v>0.7466666666666667</v>
      </c>
    </row>
    <row r="11" spans="1:6">
      <c r="B11" s="5">
        <v>60</v>
      </c>
      <c r="C11">
        <f t="shared" si="0"/>
        <v>0.8</v>
      </c>
    </row>
    <row r="12" spans="1:6">
      <c r="B12" s="6">
        <v>63</v>
      </c>
      <c r="C12">
        <f t="shared" si="0"/>
        <v>0.84</v>
      </c>
    </row>
    <row r="13" spans="1:6" ht="23.25">
      <c r="B13" s="6">
        <v>63</v>
      </c>
      <c r="C13">
        <f t="shared" si="0"/>
        <v>0.84</v>
      </c>
      <c r="E13" s="11">
        <v>7</v>
      </c>
    </row>
    <row r="14" spans="1:6">
      <c r="B14" s="6">
        <v>65</v>
      </c>
      <c r="C14">
        <f t="shared" si="0"/>
        <v>0.8666666666666667</v>
      </c>
      <c r="E14" s="18" t="s">
        <v>21</v>
      </c>
      <c r="F14" s="18"/>
    </row>
    <row r="15" spans="1:6">
      <c r="B15" s="6">
        <v>66</v>
      </c>
      <c r="C15">
        <f t="shared" si="0"/>
        <v>0.88</v>
      </c>
      <c r="E15" s="8" t="s">
        <v>10</v>
      </c>
      <c r="F15">
        <v>3</v>
      </c>
    </row>
    <row r="16" spans="1:6">
      <c r="B16" s="6">
        <v>67</v>
      </c>
      <c r="C16">
        <f t="shared" si="0"/>
        <v>0.89333333333333331</v>
      </c>
      <c r="E16" s="6" t="s">
        <v>11</v>
      </c>
      <c r="F16">
        <v>1</v>
      </c>
    </row>
    <row r="17" spans="1:6">
      <c r="B17" s="7">
        <v>70</v>
      </c>
      <c r="C17">
        <f t="shared" si="0"/>
        <v>0.93333333333333335</v>
      </c>
      <c r="E17" s="6" t="s">
        <v>16</v>
      </c>
      <c r="F17">
        <v>0</v>
      </c>
    </row>
    <row r="18" spans="1:6">
      <c r="B18" s="6">
        <v>71</v>
      </c>
      <c r="C18">
        <f t="shared" si="0"/>
        <v>0.94666666666666666</v>
      </c>
      <c r="E18" s="6" t="s">
        <v>12</v>
      </c>
      <c r="F18">
        <v>4</v>
      </c>
    </row>
    <row r="19" spans="1:6">
      <c r="B19" s="6">
        <v>72</v>
      </c>
      <c r="C19">
        <f t="shared" si="0"/>
        <v>0.96</v>
      </c>
      <c r="E19" s="6" t="s">
        <v>13</v>
      </c>
      <c r="F19">
        <v>6</v>
      </c>
    </row>
    <row r="20" spans="1:6">
      <c r="B20" s="6">
        <v>73</v>
      </c>
      <c r="C20">
        <f>B20/75</f>
        <v>0.97333333333333338</v>
      </c>
      <c r="E20" s="6" t="s">
        <v>14</v>
      </c>
      <c r="F20">
        <v>4</v>
      </c>
    </row>
    <row r="22" spans="1:6" ht="15.75">
      <c r="A22" s="1" t="s">
        <v>0</v>
      </c>
      <c r="B22">
        <f>AVERAGE(B3:B20)</f>
        <v>55.277777777777779</v>
      </c>
      <c r="C22">
        <f>MEDIAN(B3:B20)</f>
        <v>61.5</v>
      </c>
    </row>
    <row r="23" spans="1:6" ht="15.75">
      <c r="A23" s="1" t="s">
        <v>1</v>
      </c>
      <c r="B23">
        <f>STDEV(B3:B20)</f>
        <v>16.841145537241101</v>
      </c>
    </row>
    <row r="24" spans="1:6" ht="15.75">
      <c r="A24" s="1" t="s">
        <v>2</v>
      </c>
      <c r="B24" t="s">
        <v>9</v>
      </c>
    </row>
    <row r="25" spans="1:6" ht="15.75">
      <c r="A25" s="1" t="s">
        <v>3</v>
      </c>
      <c r="B25">
        <f>MAX(B3:B20)</f>
        <v>73</v>
      </c>
      <c r="C25">
        <f>MIN(B3:B20)</f>
        <v>22</v>
      </c>
    </row>
    <row r="26" spans="1:6" ht="18">
      <c r="A26" s="1" t="s">
        <v>4</v>
      </c>
      <c r="B26">
        <f>QUARTILE(B3:B20,1)</f>
        <v>52</v>
      </c>
      <c r="C26">
        <f>QUARTILE(B3:B20,3)</f>
        <v>66.75</v>
      </c>
    </row>
    <row r="27" spans="1:6" ht="15.75">
      <c r="A27" s="1" t="s">
        <v>5</v>
      </c>
      <c r="B27" t="s">
        <v>20</v>
      </c>
    </row>
    <row r="28" spans="1:6" ht="15.75">
      <c r="A28" s="1" t="s">
        <v>8</v>
      </c>
    </row>
    <row r="29" spans="1:6" ht="15.75">
      <c r="A29" s="1" t="s">
        <v>6</v>
      </c>
      <c r="B29" t="s">
        <v>15</v>
      </c>
    </row>
    <row r="30" spans="1:6" ht="15.75">
      <c r="A30" s="1" t="s">
        <v>7</v>
      </c>
    </row>
    <row r="35" spans="1:1">
      <c r="A35" s="16" t="s">
        <v>71</v>
      </c>
    </row>
  </sheetData>
  <sortState ref="B4:B20">
    <sortCondition ref="B3"/>
  </sortState>
  <mergeCells count="1">
    <mergeCell ref="E14:F1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>
      <selection activeCell="B24" sqref="B24"/>
    </sheetView>
  </sheetViews>
  <sheetFormatPr defaultRowHeight="15"/>
  <cols>
    <col min="1" max="1" width="15.42578125" customWidth="1"/>
    <col min="2" max="2" width="17.28515625" customWidth="1"/>
    <col min="3" max="3" width="12" bestFit="1" customWidth="1"/>
    <col min="4" max="4" width="19.5703125" bestFit="1" customWidth="1"/>
    <col min="5" max="5" width="22.28515625" bestFit="1" customWidth="1"/>
    <col min="6" max="6" width="21.85546875" bestFit="1" customWidth="1"/>
    <col min="7" max="7" width="12" bestFit="1" customWidth="1"/>
    <col min="8" max="8" width="11.42578125" bestFit="1" customWidth="1"/>
    <col min="9" max="9" width="15" bestFit="1" customWidth="1"/>
    <col min="10" max="10" width="12" bestFit="1" customWidth="1"/>
  </cols>
  <sheetData>
    <row r="1" spans="1:10">
      <c r="B1" t="s">
        <v>39</v>
      </c>
      <c r="C1" t="s">
        <v>35</v>
      </c>
      <c r="D1" t="s">
        <v>38</v>
      </c>
      <c r="E1" t="s">
        <v>37</v>
      </c>
      <c r="F1" t="s">
        <v>36</v>
      </c>
      <c r="G1" t="s">
        <v>35</v>
      </c>
      <c r="H1" t="s">
        <v>34</v>
      </c>
      <c r="I1" t="s">
        <v>33</v>
      </c>
      <c r="J1" t="s">
        <v>32</v>
      </c>
    </row>
    <row r="2" spans="1:10">
      <c r="A2" t="s">
        <v>31</v>
      </c>
      <c r="B2">
        <v>95</v>
      </c>
      <c r="C2">
        <v>99</v>
      </c>
      <c r="D2">
        <v>425</v>
      </c>
      <c r="E2">
        <v>88</v>
      </c>
      <c r="F2">
        <v>95</v>
      </c>
      <c r="G2">
        <v>95</v>
      </c>
      <c r="H2">
        <v>897</v>
      </c>
      <c r="I2" s="13">
        <f>(B2+C2+D2+E2+F2+G2)/950</f>
        <v>0.9442105263157895</v>
      </c>
      <c r="J2" s="2" t="s">
        <v>26</v>
      </c>
    </row>
    <row r="3" spans="1:10">
      <c r="A3" t="s">
        <v>30</v>
      </c>
      <c r="B3">
        <v>96</v>
      </c>
      <c r="C3">
        <v>97</v>
      </c>
      <c r="D3">
        <v>430</v>
      </c>
      <c r="E3">
        <v>94</v>
      </c>
      <c r="F3">
        <v>78</v>
      </c>
      <c r="G3">
        <v>94</v>
      </c>
      <c r="H3">
        <v>889</v>
      </c>
      <c r="I3" s="13">
        <f>(B3+C3+D3+E3+F3+G3)/950</f>
        <v>0.9357894736842105</v>
      </c>
      <c r="J3" s="2" t="s">
        <v>26</v>
      </c>
    </row>
    <row r="4" spans="1:10">
      <c r="A4" t="s">
        <v>29</v>
      </c>
      <c r="B4">
        <v>98</v>
      </c>
      <c r="C4">
        <v>96</v>
      </c>
      <c r="D4">
        <v>445</v>
      </c>
      <c r="E4">
        <v>98</v>
      </c>
      <c r="F4">
        <v>82</v>
      </c>
      <c r="G4">
        <v>93</v>
      </c>
      <c r="H4">
        <v>912</v>
      </c>
      <c r="I4" s="13">
        <f>(B4+C4+D4+E4+F4+G4)/950</f>
        <v>0.96</v>
      </c>
      <c r="J4" s="2" t="s">
        <v>26</v>
      </c>
    </row>
    <row r="5" spans="1:10">
      <c r="A5" t="s">
        <v>28</v>
      </c>
      <c r="B5">
        <v>100</v>
      </c>
      <c r="C5">
        <v>98</v>
      </c>
      <c r="D5">
        <v>425</v>
      </c>
      <c r="E5">
        <v>95</v>
      </c>
      <c r="F5">
        <v>94</v>
      </c>
      <c r="G5">
        <v>92</v>
      </c>
      <c r="H5">
        <v>904</v>
      </c>
      <c r="I5" s="13">
        <f>(B5+C5+D5+E5+F5+G5)/950</f>
        <v>0.95157894736842108</v>
      </c>
      <c r="J5" s="2" t="s">
        <v>26</v>
      </c>
    </row>
    <row r="6" spans="1:10">
      <c r="A6" t="s">
        <v>27</v>
      </c>
      <c r="B6">
        <v>92</v>
      </c>
      <c r="C6">
        <v>95</v>
      </c>
      <c r="D6">
        <v>415</v>
      </c>
      <c r="E6">
        <v>99</v>
      </c>
      <c r="F6">
        <v>90</v>
      </c>
      <c r="G6">
        <v>90</v>
      </c>
      <c r="H6">
        <v>881</v>
      </c>
      <c r="I6" s="13">
        <f>(B6+C6+D6+E6+F6+G6)/950</f>
        <v>0.92736842105263162</v>
      </c>
      <c r="J6" s="2" t="s">
        <v>26</v>
      </c>
    </row>
    <row r="8" spans="1:10">
      <c r="A8" t="s">
        <v>25</v>
      </c>
      <c r="B8">
        <v>100</v>
      </c>
      <c r="C8">
        <v>100</v>
      </c>
      <c r="D8">
        <v>450</v>
      </c>
      <c r="E8">
        <v>100</v>
      </c>
      <c r="F8">
        <v>100</v>
      </c>
      <c r="G8">
        <v>100</v>
      </c>
      <c r="H8">
        <v>950</v>
      </c>
      <c r="I8" s="14">
        <v>1</v>
      </c>
    </row>
    <row r="10" spans="1:10">
      <c r="A10" t="s">
        <v>24</v>
      </c>
      <c r="B10">
        <f t="shared" ref="B10:I10" si="0">AVERAGE(B2:B6)</f>
        <v>96.2</v>
      </c>
      <c r="C10">
        <f t="shared" si="0"/>
        <v>97</v>
      </c>
      <c r="D10">
        <f t="shared" si="0"/>
        <v>428</v>
      </c>
      <c r="E10">
        <f t="shared" si="0"/>
        <v>94.8</v>
      </c>
      <c r="F10">
        <f t="shared" si="0"/>
        <v>87.8</v>
      </c>
      <c r="G10">
        <f t="shared" si="0"/>
        <v>92.8</v>
      </c>
      <c r="H10">
        <f t="shared" si="0"/>
        <v>896.6</v>
      </c>
      <c r="I10" s="13">
        <f t="shared" si="0"/>
        <v>0.94378947368421051</v>
      </c>
    </row>
    <row r="11" spans="1:10">
      <c r="A11" t="s">
        <v>23</v>
      </c>
      <c r="B11" s="12">
        <f t="shared" ref="B11:I11" si="1">STDEV(B2:B6)</f>
        <v>3.03315017762062</v>
      </c>
      <c r="C11" s="12">
        <f t="shared" si="1"/>
        <v>1.5811388300841898</v>
      </c>
      <c r="D11" s="12">
        <f t="shared" si="1"/>
        <v>10.954451150103322</v>
      </c>
      <c r="E11" s="12">
        <f t="shared" si="1"/>
        <v>4.3243496620879309</v>
      </c>
      <c r="F11" s="12">
        <f t="shared" si="1"/>
        <v>7.4966659255965249</v>
      </c>
      <c r="G11" s="12">
        <f t="shared" si="1"/>
        <v>1.9235384061671343</v>
      </c>
      <c r="H11" s="12">
        <f t="shared" si="1"/>
        <v>12.177848742696716</v>
      </c>
      <c r="I11" s="12">
        <f t="shared" si="1"/>
        <v>1.2818788150207054E-2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>
      <selection activeCell="I12" sqref="I12"/>
    </sheetView>
  </sheetViews>
  <sheetFormatPr defaultRowHeight="15"/>
  <cols>
    <col min="1" max="1" width="15" customWidth="1"/>
    <col min="2" max="2" width="12.7109375" customWidth="1"/>
    <col min="3" max="3" width="14" customWidth="1"/>
    <col min="4" max="4" width="17.42578125" customWidth="1"/>
    <col min="5" max="5" width="18" customWidth="1"/>
    <col min="6" max="6" width="13" customWidth="1"/>
    <col min="7" max="7" width="11.42578125" bestFit="1" customWidth="1"/>
    <col min="8" max="8" width="15" bestFit="1" customWidth="1"/>
    <col min="9" max="9" width="12.85546875" customWidth="1"/>
  </cols>
  <sheetData>
    <row r="1" spans="1:9">
      <c r="B1" t="s">
        <v>47</v>
      </c>
      <c r="C1" t="s">
        <v>46</v>
      </c>
      <c r="D1" t="s">
        <v>45</v>
      </c>
      <c r="E1" t="s">
        <v>44</v>
      </c>
      <c r="F1" t="s">
        <v>43</v>
      </c>
      <c r="G1" t="s">
        <v>34</v>
      </c>
      <c r="H1" t="s">
        <v>33</v>
      </c>
      <c r="I1" t="s">
        <v>32</v>
      </c>
    </row>
    <row r="2" spans="1:9">
      <c r="A2" t="s">
        <v>31</v>
      </c>
      <c r="B2">
        <v>15</v>
      </c>
      <c r="C2">
        <v>20</v>
      </c>
      <c r="D2">
        <v>18</v>
      </c>
      <c r="E2">
        <v>12</v>
      </c>
      <c r="F2">
        <v>22</v>
      </c>
      <c r="G2">
        <f>(B2+C2+D2+E2+F2)</f>
        <v>87</v>
      </c>
      <c r="H2" s="13">
        <f>(G2)/100</f>
        <v>0.87</v>
      </c>
      <c r="I2" t="s">
        <v>42</v>
      </c>
    </row>
    <row r="3" spans="1:9">
      <c r="A3" t="s">
        <v>30</v>
      </c>
      <c r="B3">
        <v>20</v>
      </c>
      <c r="C3">
        <v>17</v>
      </c>
      <c r="D3">
        <v>12</v>
      </c>
      <c r="E3">
        <v>14</v>
      </c>
      <c r="F3">
        <v>23</v>
      </c>
      <c r="G3">
        <f>(B3+C3+D3+E3+F3)</f>
        <v>86</v>
      </c>
      <c r="H3" s="13">
        <f>(G3)/100</f>
        <v>0.86</v>
      </c>
      <c r="I3" t="s">
        <v>42</v>
      </c>
    </row>
    <row r="4" spans="1:9">
      <c r="A4" t="s">
        <v>29</v>
      </c>
      <c r="B4">
        <v>18</v>
      </c>
      <c r="C4">
        <v>18</v>
      </c>
      <c r="D4">
        <v>18</v>
      </c>
      <c r="E4">
        <v>15</v>
      </c>
      <c r="F4">
        <v>24</v>
      </c>
      <c r="G4">
        <f>(B4+C4+D4+E4+F4)</f>
        <v>93</v>
      </c>
      <c r="H4" s="13">
        <f>(G4)/100</f>
        <v>0.93</v>
      </c>
      <c r="I4" t="s">
        <v>41</v>
      </c>
    </row>
    <row r="5" spans="1:9">
      <c r="A5" t="s">
        <v>28</v>
      </c>
      <c r="B5">
        <v>17</v>
      </c>
      <c r="C5">
        <v>15</v>
      </c>
      <c r="D5">
        <v>19</v>
      </c>
      <c r="E5">
        <v>15</v>
      </c>
      <c r="F5">
        <v>25</v>
      </c>
      <c r="G5">
        <f>(B5+C5+D5+E5+F5)</f>
        <v>91</v>
      </c>
      <c r="H5" s="13">
        <f>(G5)/100</f>
        <v>0.91</v>
      </c>
      <c r="I5" t="s">
        <v>41</v>
      </c>
    </row>
    <row r="6" spans="1:9">
      <c r="A6" t="s">
        <v>27</v>
      </c>
      <c r="B6">
        <v>19</v>
      </c>
      <c r="C6">
        <v>20</v>
      </c>
      <c r="D6">
        <v>17</v>
      </c>
      <c r="E6">
        <v>15</v>
      </c>
      <c r="F6">
        <v>23</v>
      </c>
      <c r="G6">
        <f>(B6+C6+D6+E6+F6)</f>
        <v>94</v>
      </c>
      <c r="H6" s="13">
        <f>(G6)/100</f>
        <v>0.94</v>
      </c>
      <c r="I6" t="s">
        <v>41</v>
      </c>
    </row>
    <row r="8" spans="1:9">
      <c r="A8" t="s">
        <v>25</v>
      </c>
      <c r="B8">
        <v>20</v>
      </c>
      <c r="C8">
        <v>20</v>
      </c>
      <c r="D8">
        <v>20</v>
      </c>
      <c r="E8">
        <v>15</v>
      </c>
      <c r="F8">
        <v>25</v>
      </c>
      <c r="G8">
        <v>100</v>
      </c>
      <c r="H8" s="14">
        <v>1</v>
      </c>
    </row>
    <row r="10" spans="1:9">
      <c r="A10" t="s">
        <v>24</v>
      </c>
      <c r="B10">
        <f t="shared" ref="B10:H10" si="0">AVERAGE(B2:B6)</f>
        <v>17.8</v>
      </c>
      <c r="C10">
        <f t="shared" si="0"/>
        <v>18</v>
      </c>
      <c r="D10">
        <f t="shared" si="0"/>
        <v>16.8</v>
      </c>
      <c r="E10">
        <f t="shared" si="0"/>
        <v>14.2</v>
      </c>
      <c r="F10">
        <f t="shared" si="0"/>
        <v>23.4</v>
      </c>
      <c r="G10">
        <f t="shared" si="0"/>
        <v>90.2</v>
      </c>
      <c r="H10" s="13">
        <f t="shared" si="0"/>
        <v>0.90199999999999991</v>
      </c>
    </row>
    <row r="11" spans="1:9">
      <c r="A11" t="s">
        <v>40</v>
      </c>
      <c r="B11" s="12">
        <f t="shared" ref="B11:H11" si="1">STDEV(B2:B6)</f>
        <v>1.9235384061671343</v>
      </c>
      <c r="C11" s="12">
        <f t="shared" si="1"/>
        <v>2.1213203435596424</v>
      </c>
      <c r="D11" s="12">
        <f t="shared" si="1"/>
        <v>2.7748873851023195</v>
      </c>
      <c r="E11" s="12">
        <f t="shared" si="1"/>
        <v>1.30384048104053</v>
      </c>
      <c r="F11" s="12">
        <f t="shared" si="1"/>
        <v>1.1401754250991381</v>
      </c>
      <c r="G11" s="12">
        <f t="shared" si="1"/>
        <v>3.5637059362410923</v>
      </c>
      <c r="H11" s="12">
        <f t="shared" si="1"/>
        <v>3.5637059362410926E-2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selection activeCell="G12" sqref="G12"/>
    </sheetView>
  </sheetViews>
  <sheetFormatPr defaultRowHeight="15"/>
  <cols>
    <col min="1" max="1" width="16.28515625" customWidth="1"/>
    <col min="2" max="2" width="16.140625" customWidth="1"/>
    <col min="3" max="3" width="15.140625" customWidth="1"/>
    <col min="4" max="4" width="13.5703125" customWidth="1"/>
    <col min="5" max="5" width="11.85546875" bestFit="1" customWidth="1"/>
    <col min="6" max="6" width="15" bestFit="1" customWidth="1"/>
    <col min="7" max="7" width="13.5703125" customWidth="1"/>
  </cols>
  <sheetData>
    <row r="1" spans="1:7">
      <c r="B1" t="s">
        <v>51</v>
      </c>
      <c r="C1" t="s">
        <v>50</v>
      </c>
      <c r="D1" t="s">
        <v>49</v>
      </c>
      <c r="E1" t="s">
        <v>48</v>
      </c>
      <c r="F1" t="s">
        <v>33</v>
      </c>
      <c r="G1" t="s">
        <v>32</v>
      </c>
    </row>
    <row r="2" spans="1:7">
      <c r="A2" t="s">
        <v>31</v>
      </c>
      <c r="B2">
        <v>25</v>
      </c>
      <c r="C2">
        <v>25</v>
      </c>
      <c r="D2">
        <v>50</v>
      </c>
      <c r="E2">
        <f>(C2+B2+D2)</f>
        <v>100</v>
      </c>
      <c r="F2" s="13">
        <f>(E2)/100</f>
        <v>1</v>
      </c>
      <c r="G2" t="s">
        <v>41</v>
      </c>
    </row>
    <row r="3" spans="1:7">
      <c r="A3" t="s">
        <v>30</v>
      </c>
      <c r="B3">
        <v>24</v>
      </c>
      <c r="C3">
        <v>20</v>
      </c>
      <c r="D3">
        <v>48</v>
      </c>
      <c r="E3">
        <f>(B3+C3+D3)</f>
        <v>92</v>
      </c>
      <c r="F3" s="13">
        <f>(E3)/100</f>
        <v>0.92</v>
      </c>
      <c r="G3" t="s">
        <v>41</v>
      </c>
    </row>
    <row r="4" spans="1:7">
      <c r="A4" t="s">
        <v>29</v>
      </c>
      <c r="B4">
        <v>14</v>
      </c>
      <c r="C4">
        <v>21</v>
      </c>
      <c r="D4">
        <v>47</v>
      </c>
      <c r="E4">
        <f>(B4+C4+D4)</f>
        <v>82</v>
      </c>
      <c r="F4" s="13">
        <f>(E4)/100</f>
        <v>0.82</v>
      </c>
      <c r="G4" t="s">
        <v>42</v>
      </c>
    </row>
    <row r="5" spans="1:7">
      <c r="A5" t="s">
        <v>28</v>
      </c>
      <c r="B5">
        <v>20</v>
      </c>
      <c r="C5">
        <v>24</v>
      </c>
      <c r="D5">
        <v>49</v>
      </c>
      <c r="E5">
        <f>(B5+C5+D5)</f>
        <v>93</v>
      </c>
      <c r="F5" s="13">
        <f>(E5)/100</f>
        <v>0.93</v>
      </c>
      <c r="G5" t="s">
        <v>41</v>
      </c>
    </row>
    <row r="6" spans="1:7">
      <c r="A6" t="s">
        <v>27</v>
      </c>
      <c r="B6">
        <v>18</v>
      </c>
      <c r="C6">
        <v>23</v>
      </c>
      <c r="D6">
        <v>46</v>
      </c>
      <c r="E6">
        <f>(B6+C6+D6)</f>
        <v>87</v>
      </c>
      <c r="F6" s="13">
        <f>(E6)/100</f>
        <v>0.87</v>
      </c>
      <c r="G6" t="s">
        <v>42</v>
      </c>
    </row>
    <row r="8" spans="1:7">
      <c r="A8" t="s">
        <v>25</v>
      </c>
      <c r="B8">
        <v>25</v>
      </c>
      <c r="C8">
        <v>25</v>
      </c>
      <c r="D8">
        <v>50</v>
      </c>
      <c r="E8">
        <v>100</v>
      </c>
      <c r="F8" s="14">
        <v>1</v>
      </c>
    </row>
    <row r="10" spans="1:7">
      <c r="A10" t="s">
        <v>24</v>
      </c>
      <c r="B10">
        <f>AVERAGE(B2:B6)</f>
        <v>20.2</v>
      </c>
      <c r="C10">
        <f>AVERAGE(C2:C6)</f>
        <v>22.6</v>
      </c>
      <c r="D10">
        <f>AVERAGE(D2:D6)</f>
        <v>48</v>
      </c>
      <c r="E10">
        <f>AVERAGE(E2:E6)</f>
        <v>90.8</v>
      </c>
      <c r="F10" s="13">
        <f>AVERAGE(F2:F6)</f>
        <v>0.90800000000000003</v>
      </c>
    </row>
    <row r="11" spans="1:7">
      <c r="A11" t="s">
        <v>23</v>
      </c>
      <c r="B11" s="12">
        <f>STDEV(B2:B6)</f>
        <v>4.4944410108488455</v>
      </c>
      <c r="C11" s="12">
        <f>STDEV(C2:C6)</f>
        <v>2.0736441353327724</v>
      </c>
      <c r="D11" s="12">
        <f>STDEV(D2:D6)</f>
        <v>1.5811388300841898</v>
      </c>
      <c r="E11" s="12">
        <f>STDEV(E2:E6)</f>
        <v>6.7601775124622288</v>
      </c>
      <c r="F11" s="12">
        <f>STDEV(F2:F6)</f>
        <v>6.7601775124622301E-2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"/>
  <sheetViews>
    <sheetView topLeftCell="C1" workbookViewId="0">
      <selection activeCell="L12" sqref="L12"/>
    </sheetView>
  </sheetViews>
  <sheetFormatPr defaultRowHeight="15"/>
  <cols>
    <col min="1" max="1" width="16.28515625" customWidth="1"/>
    <col min="2" max="2" width="12.28515625" customWidth="1"/>
    <col min="3" max="4" width="11.85546875" customWidth="1"/>
    <col min="5" max="8" width="12.140625" customWidth="1"/>
    <col min="9" max="9" width="12.42578125" customWidth="1"/>
    <col min="10" max="10" width="12.140625" customWidth="1"/>
    <col min="11" max="11" width="12.28515625" customWidth="1"/>
    <col min="13" max="13" width="16" customWidth="1"/>
    <col min="14" max="14" width="14.42578125" customWidth="1"/>
    <col min="15" max="16" width="10.7109375" customWidth="1"/>
    <col min="17" max="17" width="15" bestFit="1" customWidth="1"/>
    <col min="18" max="18" width="12.42578125" customWidth="1"/>
  </cols>
  <sheetData>
    <row r="1" spans="1:18">
      <c r="B1" t="s">
        <v>64</v>
      </c>
      <c r="C1" t="s">
        <v>63</v>
      </c>
      <c r="D1" t="s">
        <v>62</v>
      </c>
      <c r="E1" t="s">
        <v>61</v>
      </c>
      <c r="F1" t="s">
        <v>60</v>
      </c>
      <c r="G1" t="s">
        <v>59</v>
      </c>
      <c r="H1" t="s">
        <v>58</v>
      </c>
      <c r="I1" t="s">
        <v>57</v>
      </c>
      <c r="J1" t="s">
        <v>56</v>
      </c>
      <c r="K1" t="s">
        <v>55</v>
      </c>
      <c r="M1" t="s">
        <v>54</v>
      </c>
      <c r="N1" t="s">
        <v>53</v>
      </c>
      <c r="O1" t="s">
        <v>49</v>
      </c>
      <c r="Q1" t="s">
        <v>33</v>
      </c>
      <c r="R1" t="s">
        <v>32</v>
      </c>
    </row>
    <row r="2" spans="1:18">
      <c r="A2" t="s">
        <v>31</v>
      </c>
      <c r="B2">
        <v>100</v>
      </c>
      <c r="C2">
        <v>98</v>
      </c>
      <c r="D2">
        <v>94</v>
      </c>
      <c r="E2">
        <v>91</v>
      </c>
      <c r="F2">
        <v>90</v>
      </c>
      <c r="G2">
        <v>95</v>
      </c>
      <c r="H2">
        <v>92</v>
      </c>
      <c r="I2">
        <v>99</v>
      </c>
      <c r="J2">
        <v>92</v>
      </c>
      <c r="K2">
        <v>91</v>
      </c>
      <c r="M2" s="13">
        <f>(SUM(B2:K2)-MIN(B2:K2))/900</f>
        <v>0.94666666666666666</v>
      </c>
      <c r="N2" s="13">
        <v>0.95</v>
      </c>
      <c r="O2" s="13">
        <v>0.92</v>
      </c>
      <c r="Q2" s="13">
        <f>(M2*0.3+N2*0.2+O2*0.5)</f>
        <v>0.93399999999999994</v>
      </c>
      <c r="R2" s="2" t="s">
        <v>26</v>
      </c>
    </row>
    <row r="3" spans="1:18">
      <c r="A3" t="s">
        <v>30</v>
      </c>
      <c r="B3">
        <v>95</v>
      </c>
      <c r="C3">
        <v>95</v>
      </c>
      <c r="D3">
        <v>95</v>
      </c>
      <c r="E3">
        <v>84</v>
      </c>
      <c r="F3">
        <v>95</v>
      </c>
      <c r="G3">
        <v>75</v>
      </c>
      <c r="H3">
        <v>91</v>
      </c>
      <c r="I3">
        <v>88</v>
      </c>
      <c r="J3">
        <v>93</v>
      </c>
      <c r="K3">
        <v>97</v>
      </c>
      <c r="M3" s="13">
        <f>(SUM(B3:K3)-MIN(B3:K3))/900</f>
        <v>0.92555555555555558</v>
      </c>
      <c r="N3" s="13">
        <v>0.96</v>
      </c>
      <c r="O3" s="13">
        <v>0.85</v>
      </c>
      <c r="Q3" s="13">
        <f>(M3*0.3+N3*0.2+O3*0.5)</f>
        <v>0.89466666666666672</v>
      </c>
      <c r="R3" s="2" t="s">
        <v>52</v>
      </c>
    </row>
    <row r="4" spans="1:18">
      <c r="A4" t="s">
        <v>29</v>
      </c>
      <c r="B4">
        <v>98</v>
      </c>
      <c r="C4">
        <v>92</v>
      </c>
      <c r="D4">
        <v>92</v>
      </c>
      <c r="E4">
        <v>85</v>
      </c>
      <c r="F4">
        <v>92</v>
      </c>
      <c r="G4">
        <v>95</v>
      </c>
      <c r="H4">
        <v>82</v>
      </c>
      <c r="I4">
        <v>94</v>
      </c>
      <c r="J4">
        <v>94</v>
      </c>
      <c r="K4">
        <v>96</v>
      </c>
      <c r="M4" s="13">
        <f>(SUM(B4:K4)-MIN(B4:K4))/900</f>
        <v>0.93111111111111111</v>
      </c>
      <c r="N4" s="13">
        <v>0.98</v>
      </c>
      <c r="O4" s="13">
        <v>0.93</v>
      </c>
      <c r="Q4" s="13">
        <f>(M4*0.3+N4*0.2+O4*0.5)</f>
        <v>0.94033333333333335</v>
      </c>
      <c r="R4" s="2" t="s">
        <v>26</v>
      </c>
    </row>
    <row r="5" spans="1:18">
      <c r="A5" t="s">
        <v>28</v>
      </c>
      <c r="B5">
        <v>96</v>
      </c>
      <c r="C5">
        <v>65</v>
      </c>
      <c r="D5">
        <v>93</v>
      </c>
      <c r="E5">
        <v>95</v>
      </c>
      <c r="F5">
        <v>94</v>
      </c>
      <c r="G5">
        <v>84</v>
      </c>
      <c r="H5">
        <v>75</v>
      </c>
      <c r="I5">
        <v>85</v>
      </c>
      <c r="J5">
        <v>85</v>
      </c>
      <c r="K5">
        <v>100</v>
      </c>
      <c r="M5" s="13">
        <f>(SUM(B5:K5)-MIN(B5:K5))/900</f>
        <v>0.89666666666666661</v>
      </c>
      <c r="N5" s="13">
        <v>0.85</v>
      </c>
      <c r="O5" s="13">
        <v>0.88</v>
      </c>
      <c r="Q5" s="13">
        <f>(M5*0.3+N5*0.2+O5*0.5)</f>
        <v>0.879</v>
      </c>
      <c r="R5" s="2" t="s">
        <v>52</v>
      </c>
    </row>
    <row r="6" spans="1:18">
      <c r="A6" t="s">
        <v>27</v>
      </c>
      <c r="B6">
        <v>97</v>
      </c>
      <c r="C6">
        <v>92</v>
      </c>
      <c r="D6">
        <v>94</v>
      </c>
      <c r="E6">
        <v>78</v>
      </c>
      <c r="F6">
        <v>91</v>
      </c>
      <c r="G6">
        <v>85</v>
      </c>
      <c r="H6">
        <v>96</v>
      </c>
      <c r="I6">
        <v>92</v>
      </c>
      <c r="J6">
        <v>75</v>
      </c>
      <c r="K6">
        <v>99</v>
      </c>
      <c r="M6" s="13">
        <f>(SUM(B6:K6)-MIN(B6:K6))/900</f>
        <v>0.91555555555555557</v>
      </c>
      <c r="N6" s="13">
        <v>0.82</v>
      </c>
      <c r="O6" s="13">
        <v>0.95</v>
      </c>
      <c r="Q6" s="13">
        <f>(M6*0.3+N6*0.2+O6*0.5)</f>
        <v>0.91366666666666663</v>
      </c>
      <c r="R6" s="2" t="s">
        <v>26</v>
      </c>
    </row>
    <row r="8" spans="1:18">
      <c r="A8" t="s">
        <v>25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M8" s="14">
        <v>1</v>
      </c>
      <c r="N8">
        <v>100</v>
      </c>
      <c r="O8">
        <v>100</v>
      </c>
      <c r="Q8">
        <v>100</v>
      </c>
    </row>
    <row r="10" spans="1:18">
      <c r="A10" t="s">
        <v>24</v>
      </c>
      <c r="B10">
        <f>AVERAGE('Scenario 4'!B2:B6)</f>
        <v>97.2</v>
      </c>
      <c r="C10">
        <f>AVERAGE('Scenario 4'!C2:C6)</f>
        <v>88.4</v>
      </c>
      <c r="D10">
        <f>AVERAGE('Scenario 4'!D2:D6)</f>
        <v>93.6</v>
      </c>
      <c r="E10">
        <f>AVERAGE('Scenario 4'!E2:E6)</f>
        <v>86.6</v>
      </c>
      <c r="F10">
        <f>AVERAGE('Scenario 4'!F2:F6)</f>
        <v>92.4</v>
      </c>
      <c r="G10">
        <f>AVERAGE('Scenario 4'!G2:G6)</f>
        <v>86.8</v>
      </c>
      <c r="H10">
        <f>AVERAGE('Scenario 4'!H2:H6)</f>
        <v>87.2</v>
      </c>
      <c r="I10">
        <f>AVERAGE('Scenario 4'!I2:I6)</f>
        <v>91.6</v>
      </c>
      <c r="J10">
        <f>AVERAGE('Scenario 4'!J2:J6)</f>
        <v>87.8</v>
      </c>
      <c r="K10">
        <f>AVERAGE('Scenario 4'!K2:K6)</f>
        <v>96.6</v>
      </c>
      <c r="M10" s="15">
        <f>AVERAGE('Scenario 4'!M2:M6)</f>
        <v>0.92311111111111099</v>
      </c>
      <c r="N10">
        <f>AVERAGE('Scenario 4'!N2:N6)</f>
        <v>0.91199999999999992</v>
      </c>
      <c r="O10">
        <f>AVERAGE('Scenario 4'!O2:O6)</f>
        <v>0.90600000000000003</v>
      </c>
      <c r="Q10" s="13">
        <f>AVERAGE('Scenario 4'!Q2:Q6)</f>
        <v>0.91233333333333333</v>
      </c>
    </row>
    <row r="11" spans="1:18">
      <c r="A11" t="s">
        <v>23</v>
      </c>
      <c r="B11" s="12">
        <f t="shared" ref="B11:K11" si="0">STDEV(B2:B6)</f>
        <v>1.9235384061671343</v>
      </c>
      <c r="C11" s="12">
        <f t="shared" si="0"/>
        <v>13.315404612703261</v>
      </c>
      <c r="D11" s="12">
        <f t="shared" si="0"/>
        <v>1.1401754250991381</v>
      </c>
      <c r="E11" s="12">
        <f t="shared" si="0"/>
        <v>6.58027355054484</v>
      </c>
      <c r="F11" s="12">
        <f t="shared" si="0"/>
        <v>2.0736441353327719</v>
      </c>
      <c r="G11" s="12">
        <f t="shared" si="0"/>
        <v>8.4380092438915941</v>
      </c>
      <c r="H11" s="12">
        <f t="shared" si="0"/>
        <v>8.5264294989168832</v>
      </c>
      <c r="I11" s="12">
        <f t="shared" si="0"/>
        <v>5.4129474410897434</v>
      </c>
      <c r="J11" s="12">
        <f t="shared" si="0"/>
        <v>7.9812279756939661</v>
      </c>
      <c r="K11" s="12">
        <f t="shared" si="0"/>
        <v>3.5071355833500362</v>
      </c>
      <c r="L11" s="12"/>
      <c r="M11" s="12">
        <f>STDEV(M2:M6)</f>
        <v>1.8582482126328261E-2</v>
      </c>
      <c r="N11" s="12">
        <f>STDEV(N2:N6)</f>
        <v>7.1902712048990208E-2</v>
      </c>
      <c r="O11" s="12">
        <f>STDEV(O2:O6)</f>
        <v>4.03732584763727E-2</v>
      </c>
      <c r="P11" s="12"/>
      <c r="Q11" s="12">
        <f>STDEV(Q2:Q6)</f>
        <v>2.5876845076459962E-2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"/>
  <sheetViews>
    <sheetView topLeftCell="H1" workbookViewId="0">
      <selection activeCell="Q12" sqref="Q12"/>
    </sheetView>
  </sheetViews>
  <sheetFormatPr defaultRowHeight="15"/>
  <cols>
    <col min="1" max="1" width="14.5703125" bestFit="1" customWidth="1"/>
    <col min="2" max="10" width="12.140625" bestFit="1" customWidth="1"/>
    <col min="11" max="11" width="13.28515625" bestFit="1" customWidth="1"/>
    <col min="13" max="13" width="16.28515625" bestFit="1" customWidth="1"/>
    <col min="14" max="14" width="14.28515625" bestFit="1" customWidth="1"/>
    <col min="15" max="15" width="10.7109375" bestFit="1" customWidth="1"/>
    <col min="17" max="17" width="15" bestFit="1" customWidth="1"/>
    <col min="18" max="18" width="12" bestFit="1" customWidth="1"/>
  </cols>
  <sheetData>
    <row r="1" spans="1:18">
      <c r="B1" t="s">
        <v>64</v>
      </c>
      <c r="C1" t="s">
        <v>63</v>
      </c>
      <c r="D1" t="s">
        <v>62</v>
      </c>
      <c r="E1" t="s">
        <v>61</v>
      </c>
      <c r="F1" t="s">
        <v>60</v>
      </c>
      <c r="G1" t="s">
        <v>59</v>
      </c>
      <c r="H1" t="s">
        <v>58</v>
      </c>
      <c r="I1" t="s">
        <v>57</v>
      </c>
      <c r="J1" t="s">
        <v>56</v>
      </c>
      <c r="K1" t="s">
        <v>55</v>
      </c>
      <c r="M1" t="s">
        <v>54</v>
      </c>
      <c r="N1" t="s">
        <v>53</v>
      </c>
      <c r="O1" t="s">
        <v>49</v>
      </c>
      <c r="Q1" t="s">
        <v>33</v>
      </c>
      <c r="R1" t="s">
        <v>32</v>
      </c>
    </row>
    <row r="2" spans="1:18">
      <c r="A2" t="s">
        <v>31</v>
      </c>
      <c r="B2">
        <v>100</v>
      </c>
      <c r="C2">
        <v>98</v>
      </c>
      <c r="D2">
        <v>94</v>
      </c>
      <c r="E2">
        <v>91</v>
      </c>
      <c r="F2">
        <v>90</v>
      </c>
      <c r="G2">
        <v>95</v>
      </c>
      <c r="H2">
        <v>92</v>
      </c>
      <c r="I2">
        <v>99</v>
      </c>
      <c r="J2">
        <v>92</v>
      </c>
      <c r="K2">
        <v>91</v>
      </c>
      <c r="M2" s="13">
        <f>(SUM(B2:K2)-SMALL(B2:K2,1)-SMALL(B2:K2,2))/800</f>
        <v>0.95125000000000004</v>
      </c>
      <c r="N2" s="13">
        <v>0.95</v>
      </c>
      <c r="O2" s="13">
        <v>0.78</v>
      </c>
      <c r="Q2" s="13">
        <f>(M2*0.3+N2*0.2+O2*0.5)</f>
        <v>0.86537500000000001</v>
      </c>
      <c r="R2" s="2" t="s">
        <v>52</v>
      </c>
    </row>
    <row r="3" spans="1:18">
      <c r="A3" t="s">
        <v>30</v>
      </c>
      <c r="B3">
        <v>95</v>
      </c>
      <c r="C3">
        <v>95</v>
      </c>
      <c r="D3">
        <v>95</v>
      </c>
      <c r="E3">
        <v>84</v>
      </c>
      <c r="F3">
        <v>95</v>
      </c>
      <c r="G3">
        <v>75</v>
      </c>
      <c r="H3">
        <v>91</v>
      </c>
      <c r="I3">
        <v>88</v>
      </c>
      <c r="J3">
        <v>93</v>
      </c>
      <c r="K3">
        <v>97</v>
      </c>
      <c r="M3" s="13">
        <f>(SUM(B3:K3)-SMALL(B3:K3,1)-SMALL(B3:K3,2))/800</f>
        <v>0.93625000000000003</v>
      </c>
      <c r="N3" s="13">
        <v>0.92</v>
      </c>
      <c r="O3" s="13">
        <v>0.91</v>
      </c>
      <c r="Q3" s="13">
        <f>(M3*0.3+N3*0.2+O3*0.5)</f>
        <v>0.919875</v>
      </c>
      <c r="R3" s="2" t="s">
        <v>26</v>
      </c>
    </row>
    <row r="4" spans="1:18">
      <c r="A4" t="s">
        <v>29</v>
      </c>
      <c r="B4">
        <v>98</v>
      </c>
      <c r="C4">
        <v>92</v>
      </c>
      <c r="D4">
        <v>92</v>
      </c>
      <c r="E4">
        <v>85</v>
      </c>
      <c r="F4">
        <v>92</v>
      </c>
      <c r="G4">
        <v>95</v>
      </c>
      <c r="H4">
        <v>82</v>
      </c>
      <c r="I4">
        <v>94</v>
      </c>
      <c r="J4">
        <v>94</v>
      </c>
      <c r="K4">
        <v>96</v>
      </c>
      <c r="M4" s="13">
        <f>(SUM(B4:K4)-SMALL(B4:K4,1)-SMALL(B4:K4,2))/800</f>
        <v>0.94125000000000003</v>
      </c>
      <c r="N4" s="13">
        <v>0.85</v>
      </c>
      <c r="O4" s="13">
        <v>0.85</v>
      </c>
      <c r="Q4" s="13">
        <f>(M4*0.3+N4*0.2+O4*0.5)</f>
        <v>0.87737500000000002</v>
      </c>
      <c r="R4" s="2" t="s">
        <v>52</v>
      </c>
    </row>
    <row r="5" spans="1:18">
      <c r="A5" t="s">
        <v>28</v>
      </c>
      <c r="B5">
        <v>96</v>
      </c>
      <c r="C5">
        <v>65</v>
      </c>
      <c r="D5">
        <v>93</v>
      </c>
      <c r="E5">
        <v>95</v>
      </c>
      <c r="F5">
        <v>94</v>
      </c>
      <c r="G5">
        <v>84</v>
      </c>
      <c r="H5">
        <v>75</v>
      </c>
      <c r="I5">
        <v>85</v>
      </c>
      <c r="J5">
        <v>85</v>
      </c>
      <c r="K5">
        <v>100</v>
      </c>
      <c r="M5" s="13">
        <f>(SUM(B5:K5)-SMALL(B5:K5,1)-SMALL(B5:K5,2))/800</f>
        <v>0.91500000000000004</v>
      </c>
      <c r="N5" s="13">
        <v>0.94</v>
      </c>
      <c r="O5" s="13">
        <v>0.8</v>
      </c>
      <c r="Q5" s="13">
        <f>(M5*0.3+N5*0.2+O5*0.5)</f>
        <v>0.86250000000000004</v>
      </c>
      <c r="R5" s="2" t="s">
        <v>52</v>
      </c>
    </row>
    <row r="6" spans="1:18">
      <c r="A6" t="s">
        <v>27</v>
      </c>
      <c r="B6">
        <v>97</v>
      </c>
      <c r="C6">
        <v>92</v>
      </c>
      <c r="D6">
        <v>94</v>
      </c>
      <c r="E6">
        <v>78</v>
      </c>
      <c r="F6">
        <v>91</v>
      </c>
      <c r="G6">
        <v>85</v>
      </c>
      <c r="H6">
        <v>96</v>
      </c>
      <c r="I6">
        <v>92</v>
      </c>
      <c r="J6">
        <v>75</v>
      </c>
      <c r="K6">
        <v>99</v>
      </c>
      <c r="M6" s="13">
        <f>(SUM(B6:K6)-SMALL(B6:K6,1)-SMALL(B6:K6,2))/800</f>
        <v>0.9325</v>
      </c>
      <c r="N6" s="13">
        <v>0.91</v>
      </c>
      <c r="O6" s="13">
        <v>0.92</v>
      </c>
      <c r="Q6" s="13">
        <f>(M6*0.3+N6*0.2+O6*0.5)</f>
        <v>0.92175000000000007</v>
      </c>
      <c r="R6" s="2" t="s">
        <v>26</v>
      </c>
    </row>
    <row r="8" spans="1:18">
      <c r="A8" t="s">
        <v>25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M8" s="14">
        <v>1</v>
      </c>
      <c r="N8" s="14">
        <v>1</v>
      </c>
      <c r="O8" s="14">
        <v>1</v>
      </c>
      <c r="Q8" s="14">
        <v>1</v>
      </c>
    </row>
    <row r="10" spans="1:18">
      <c r="A10" t="s">
        <v>24</v>
      </c>
      <c r="B10">
        <f t="shared" ref="B10:K10" si="0">AVERAGE(B2:B6)</f>
        <v>97.2</v>
      </c>
      <c r="C10">
        <f t="shared" si="0"/>
        <v>88.4</v>
      </c>
      <c r="D10">
        <f t="shared" si="0"/>
        <v>93.6</v>
      </c>
      <c r="E10">
        <f t="shared" si="0"/>
        <v>86.6</v>
      </c>
      <c r="F10">
        <f t="shared" si="0"/>
        <v>92.4</v>
      </c>
      <c r="G10">
        <f t="shared" si="0"/>
        <v>86.8</v>
      </c>
      <c r="H10">
        <f t="shared" si="0"/>
        <v>87.2</v>
      </c>
      <c r="I10">
        <f t="shared" si="0"/>
        <v>91.6</v>
      </c>
      <c r="J10">
        <f t="shared" si="0"/>
        <v>87.8</v>
      </c>
      <c r="K10">
        <f t="shared" si="0"/>
        <v>96.6</v>
      </c>
      <c r="M10" s="12">
        <f>AVERAGE(M2:M6)</f>
        <v>0.93525000000000014</v>
      </c>
      <c r="N10" s="12">
        <f>AVERAGE(N2:N6)</f>
        <v>0.91400000000000003</v>
      </c>
      <c r="O10" s="12">
        <f>AVERAGE(O2:O6)</f>
        <v>0.85199999999999998</v>
      </c>
      <c r="P10" s="12"/>
      <c r="Q10" s="12">
        <f>AVERAGE(Q2:Q6)</f>
        <v>0.88937500000000003</v>
      </c>
    </row>
    <row r="11" spans="1:18">
      <c r="A11" t="s">
        <v>23</v>
      </c>
      <c r="B11" s="12">
        <f t="shared" ref="B11:K11" si="1">STDEV(B2:B6)</f>
        <v>1.9235384061671343</v>
      </c>
      <c r="C11" s="12">
        <f t="shared" si="1"/>
        <v>13.315404612703261</v>
      </c>
      <c r="D11" s="12">
        <f t="shared" si="1"/>
        <v>1.1401754250991381</v>
      </c>
      <c r="E11" s="12">
        <f t="shared" si="1"/>
        <v>6.58027355054484</v>
      </c>
      <c r="F11" s="12">
        <f t="shared" si="1"/>
        <v>2.0736441353327719</v>
      </c>
      <c r="G11" s="12">
        <f t="shared" si="1"/>
        <v>8.4380092438915941</v>
      </c>
      <c r="H11" s="12">
        <f t="shared" si="1"/>
        <v>8.5264294989168832</v>
      </c>
      <c r="I11" s="12">
        <f t="shared" si="1"/>
        <v>5.4129474410897434</v>
      </c>
      <c r="J11" s="12">
        <f t="shared" si="1"/>
        <v>7.9812279756939661</v>
      </c>
      <c r="K11" s="12">
        <f t="shared" si="1"/>
        <v>3.5071355833500362</v>
      </c>
      <c r="L11" s="12"/>
      <c r="M11" s="12">
        <f>STDEV(M2:M6)</f>
        <v>1.3328775262566327E-2</v>
      </c>
      <c r="N11" s="12">
        <f>STDEV(N2:N6)</f>
        <v>3.9115214431215885E-2</v>
      </c>
      <c r="O11" s="12">
        <f>STDEV(O2:O6)</f>
        <v>6.3007936008093457E-2</v>
      </c>
      <c r="P11" s="12"/>
      <c r="Q11" s="12">
        <f>STDEV(Q2:Q6)</f>
        <v>2.9243188309416614E-2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1"/>
  <sheetViews>
    <sheetView workbookViewId="0">
      <selection activeCell="F15" sqref="F15"/>
    </sheetView>
  </sheetViews>
  <sheetFormatPr defaultRowHeight="15"/>
  <cols>
    <col min="1" max="1" width="14.5703125" bestFit="1" customWidth="1"/>
    <col min="2" max="4" width="12.5703125" bestFit="1" customWidth="1"/>
    <col min="5" max="5" width="23.5703125" bestFit="1" customWidth="1"/>
    <col min="6" max="6" width="20.85546875" bestFit="1" customWidth="1"/>
    <col min="8" max="8" width="15" bestFit="1" customWidth="1"/>
    <col min="9" max="9" width="12.42578125" bestFit="1" customWidth="1"/>
  </cols>
  <sheetData>
    <row r="1" spans="1:9">
      <c r="B1" t="s">
        <v>70</v>
      </c>
      <c r="C1" t="s">
        <v>69</v>
      </c>
      <c r="D1" t="s">
        <v>68</v>
      </c>
      <c r="E1" t="s">
        <v>67</v>
      </c>
      <c r="F1" t="s">
        <v>66</v>
      </c>
      <c r="H1" t="s">
        <v>33</v>
      </c>
      <c r="I1" t="s">
        <v>65</v>
      </c>
    </row>
    <row r="2" spans="1:9">
      <c r="A2" t="s">
        <v>31</v>
      </c>
      <c r="B2">
        <v>95</v>
      </c>
      <c r="C2">
        <v>89</v>
      </c>
      <c r="D2">
        <v>90</v>
      </c>
      <c r="E2" s="15">
        <f>AVERAGE(B2:D2)</f>
        <v>91.333333333333329</v>
      </c>
      <c r="F2">
        <v>89</v>
      </c>
      <c r="H2" s="15">
        <f>IF(F2&gt;E2,E2*0.5+F2*0.5,E2*2/3+F2*1/3)</f>
        <v>90.555555555555557</v>
      </c>
      <c r="I2" s="2" t="s">
        <v>26</v>
      </c>
    </row>
    <row r="3" spans="1:9">
      <c r="A3" t="s">
        <v>30</v>
      </c>
      <c r="B3">
        <v>92</v>
      </c>
      <c r="C3">
        <v>78</v>
      </c>
      <c r="D3">
        <v>95</v>
      </c>
      <c r="E3" s="15">
        <f>AVERAGE(B3:D3)</f>
        <v>88.333333333333329</v>
      </c>
      <c r="F3">
        <v>70</v>
      </c>
      <c r="H3" s="15">
        <f>IF(F3&gt;E3,E3*0.5+F3*0.5,E3*2/3+F3*1/3)</f>
        <v>82.222222222222214</v>
      </c>
      <c r="I3" s="2" t="s">
        <v>52</v>
      </c>
    </row>
    <row r="4" spans="1:9">
      <c r="A4" t="s">
        <v>29</v>
      </c>
      <c r="B4">
        <v>94</v>
      </c>
      <c r="C4">
        <v>92</v>
      </c>
      <c r="D4">
        <v>90</v>
      </c>
      <c r="E4">
        <f>AVERAGE(B4:D4)</f>
        <v>92</v>
      </c>
      <c r="F4">
        <v>91</v>
      </c>
      <c r="H4" s="15">
        <f>IF(F4&gt;E4,E4*0.5+F4*0.5,E4*2/3+F4*1/3)</f>
        <v>91.666666666666671</v>
      </c>
      <c r="I4" s="2" t="s">
        <v>26</v>
      </c>
    </row>
    <row r="5" spans="1:9">
      <c r="A5" t="s">
        <v>28</v>
      </c>
      <c r="B5">
        <v>85</v>
      </c>
      <c r="C5">
        <v>94</v>
      </c>
      <c r="D5">
        <v>91</v>
      </c>
      <c r="E5">
        <f>AVERAGE(B5:D5)</f>
        <v>90</v>
      </c>
      <c r="F5">
        <v>90</v>
      </c>
      <c r="H5" s="15">
        <f>IF(F5&gt;E5,E5*0.5+F5*0.5,E5*2/3+F5*1/3)</f>
        <v>90</v>
      </c>
      <c r="I5" s="2" t="s">
        <v>26</v>
      </c>
    </row>
    <row r="6" spans="1:9">
      <c r="A6" t="s">
        <v>27</v>
      </c>
      <c r="B6">
        <v>90</v>
      </c>
      <c r="C6">
        <v>91</v>
      </c>
      <c r="D6">
        <v>92</v>
      </c>
      <c r="E6">
        <f>AVERAGE(B6:D6)</f>
        <v>91</v>
      </c>
      <c r="F6">
        <v>87</v>
      </c>
      <c r="H6" s="15">
        <f>IF(F6&gt;E6,E6*0.5+F6*0.5,E6*2/3+F6*1/3)</f>
        <v>89.666666666666657</v>
      </c>
      <c r="I6" s="2" t="s">
        <v>52</v>
      </c>
    </row>
    <row r="8" spans="1:9">
      <c r="A8" t="s">
        <v>25</v>
      </c>
      <c r="B8">
        <v>100</v>
      </c>
      <c r="C8">
        <v>100</v>
      </c>
      <c r="D8">
        <v>100</v>
      </c>
      <c r="E8">
        <v>100</v>
      </c>
      <c r="F8">
        <v>100</v>
      </c>
      <c r="H8">
        <v>100</v>
      </c>
    </row>
    <row r="10" spans="1:9">
      <c r="A10" t="s">
        <v>24</v>
      </c>
      <c r="B10" s="15">
        <f>AVERAGE(B2:B6)</f>
        <v>91.2</v>
      </c>
      <c r="C10" s="15">
        <f>AVERAGE(C2:C6)</f>
        <v>88.8</v>
      </c>
      <c r="D10" s="15">
        <f>AVERAGE(D2:D6)</f>
        <v>91.6</v>
      </c>
      <c r="E10" s="15">
        <f>AVERAGE(E2:E6)</f>
        <v>90.533333333333331</v>
      </c>
      <c r="F10" s="15">
        <f>AVERAGE(F2:F6)</f>
        <v>85.4</v>
      </c>
      <c r="G10" s="15"/>
      <c r="H10" s="15">
        <f>AVERAGE(H2:H6)</f>
        <v>88.822222222222223</v>
      </c>
    </row>
    <row r="11" spans="1:9">
      <c r="A11" t="s">
        <v>23</v>
      </c>
      <c r="B11" s="12">
        <f>STDEV(B2:B6)</f>
        <v>3.9623225512317899</v>
      </c>
      <c r="C11" s="12">
        <f>STDEV(C2:C6)</f>
        <v>6.3007936008093459</v>
      </c>
      <c r="D11" s="12">
        <f>STDEV(D2:D6)</f>
        <v>2.0736441353327719</v>
      </c>
      <c r="E11" s="12">
        <f>STDEV(E2:E6)</f>
        <v>1.4259499757471636</v>
      </c>
      <c r="F11" s="12">
        <f>STDEV(F2:F6)</f>
        <v>8.7349871207689826</v>
      </c>
      <c r="G11" s="12"/>
      <c r="H11" s="12">
        <f>STDEV(H2:H6)</f>
        <v>3.7668141564044437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2:N40"/>
  <sheetViews>
    <sheetView tabSelected="1" zoomScale="85" zoomScaleNormal="85" workbookViewId="0">
      <selection activeCell="D39" sqref="D39"/>
    </sheetView>
  </sheetViews>
  <sheetFormatPr defaultRowHeight="15"/>
  <cols>
    <col min="1" max="1" width="8.85546875" customWidth="1"/>
    <col min="2" max="3" width="14.42578125" bestFit="1" customWidth="1"/>
    <col min="4" max="4" width="4.7109375" bestFit="1" customWidth="1"/>
  </cols>
  <sheetData>
    <row r="2" spans="1:7">
      <c r="B2" t="s">
        <v>18</v>
      </c>
      <c r="C2" t="s">
        <v>19</v>
      </c>
      <c r="D2" t="s">
        <v>17</v>
      </c>
    </row>
    <row r="3" spans="1:7">
      <c r="B3">
        <v>6.3</v>
      </c>
      <c r="C3">
        <v>1.2</v>
      </c>
      <c r="D3">
        <v>2.7</v>
      </c>
    </row>
    <row r="4" spans="1:7">
      <c r="B4">
        <v>8.6999999999999993</v>
      </c>
      <c r="C4">
        <v>1.5</v>
      </c>
      <c r="D4">
        <v>2.9</v>
      </c>
    </row>
    <row r="5" spans="1:7">
      <c r="B5">
        <v>8.5</v>
      </c>
      <c r="C5">
        <v>3.4</v>
      </c>
      <c r="D5">
        <v>3.9</v>
      </c>
    </row>
    <row r="6" spans="1:7">
      <c r="B6">
        <v>7.2</v>
      </c>
      <c r="C6">
        <v>2.2999999999999998</v>
      </c>
      <c r="D6">
        <v>3.7</v>
      </c>
    </row>
    <row r="7" spans="1:7">
      <c r="B7">
        <v>6.2</v>
      </c>
      <c r="C7">
        <v>4.2</v>
      </c>
      <c r="D7">
        <v>4</v>
      </c>
    </row>
    <row r="8" spans="1:7">
      <c r="B8">
        <v>7.3</v>
      </c>
      <c r="C8">
        <v>1.4</v>
      </c>
      <c r="D8">
        <v>3</v>
      </c>
    </row>
    <row r="9" spans="1:7">
      <c r="B9">
        <v>7.1</v>
      </c>
      <c r="C9">
        <v>2.2000000000000002</v>
      </c>
      <c r="D9">
        <v>3.1</v>
      </c>
    </row>
    <row r="10" spans="1:7">
      <c r="B10">
        <v>7.6</v>
      </c>
      <c r="C10">
        <v>2</v>
      </c>
      <c r="D10">
        <v>3.2</v>
      </c>
    </row>
    <row r="11" spans="1:7">
      <c r="B11">
        <v>6.9</v>
      </c>
      <c r="C11">
        <v>2.7</v>
      </c>
      <c r="D11">
        <v>3.5</v>
      </c>
    </row>
    <row r="12" spans="1:7">
      <c r="B12">
        <v>6.7</v>
      </c>
      <c r="C12">
        <v>0.8</v>
      </c>
      <c r="D12">
        <v>2.4</v>
      </c>
    </row>
    <row r="14" spans="1:7">
      <c r="A14" s="19"/>
      <c r="B14" s="19"/>
      <c r="C14" s="19"/>
      <c r="D14" s="19"/>
      <c r="E14" s="19"/>
      <c r="F14" s="19"/>
      <c r="G14" s="19"/>
    </row>
    <row r="15" spans="1:7">
      <c r="A15" s="19"/>
      <c r="B15" s="19"/>
      <c r="C15" s="19"/>
      <c r="D15" s="19"/>
      <c r="E15" s="19"/>
      <c r="F15" s="19"/>
      <c r="G15" s="19"/>
    </row>
    <row r="16" spans="1:7">
      <c r="A16" s="19"/>
      <c r="B16" s="19"/>
      <c r="C16" s="19"/>
      <c r="D16" s="19"/>
      <c r="E16" s="19"/>
      <c r="F16" s="19"/>
      <c r="G16" s="19"/>
    </row>
    <row r="33" spans="2:14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spans="2:14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</row>
    <row r="35" spans="2:14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spans="2:14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2:14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spans="2:14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</row>
    <row r="39" spans="2:14">
      <c r="B39" s="17" t="s">
        <v>72</v>
      </c>
      <c r="C39" s="9"/>
      <c r="D39" s="17">
        <v>-3</v>
      </c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2:14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</sheetData>
  <mergeCells count="1">
    <mergeCell ref="A14:G1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Basic statistics Page 1</vt:lpstr>
      <vt:lpstr>Scenario 1</vt:lpstr>
      <vt:lpstr>Scenario 2</vt:lpstr>
      <vt:lpstr>Scenario 3</vt:lpstr>
      <vt:lpstr>Scenario 4</vt:lpstr>
      <vt:lpstr>Scenario 5</vt:lpstr>
      <vt:lpstr>Scenario 6</vt:lpstr>
      <vt:lpstr>GPA pg. 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Rose, Matt</dc:creator>
  <cp:lastModifiedBy>Kent Pearce</cp:lastModifiedBy>
  <dcterms:created xsi:type="dcterms:W3CDTF">2011-10-04T19:05:56Z</dcterms:created>
  <dcterms:modified xsi:type="dcterms:W3CDTF">2011-10-27T18:33:09Z</dcterms:modified>
</cp:coreProperties>
</file>