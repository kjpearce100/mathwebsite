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760" activeTab="5"/>
  </bookViews>
  <sheets>
    <sheet name="SENARIO 1" sheetId="6" r:id="rId1"/>
    <sheet name="SENARIO 2" sheetId="1" r:id="rId2"/>
    <sheet name="SENARIO 3" sheetId="2" r:id="rId3"/>
    <sheet name="SENARIO 4" sheetId="3" r:id="rId4"/>
    <sheet name="SENARIO 5" sheetId="4" r:id="rId5"/>
    <sheet name="SENARIO 6" sheetId="5" r:id="rId6"/>
  </sheets>
  <calcPr calcId="125725"/>
</workbook>
</file>

<file path=xl/calcChain.xml><?xml version="1.0" encoding="utf-8"?>
<calcChain xmlns="http://schemas.openxmlformats.org/spreadsheetml/2006/main">
  <c r="M9" i="5"/>
  <c r="L9"/>
  <c r="K9"/>
  <c r="J9"/>
  <c r="I9"/>
  <c r="H9"/>
  <c r="G9"/>
  <c r="F9"/>
  <c r="E9"/>
  <c r="D9"/>
  <c r="C9"/>
  <c r="M8"/>
  <c r="L8"/>
  <c r="M7"/>
  <c r="L7"/>
  <c r="M5"/>
  <c r="L5"/>
  <c r="M4"/>
  <c r="L4"/>
  <c r="J8"/>
  <c r="I8"/>
  <c r="H8"/>
  <c r="E8"/>
  <c r="D8"/>
  <c r="C8"/>
  <c r="K7"/>
  <c r="K6"/>
  <c r="K8" s="1"/>
  <c r="K5"/>
  <c r="K4"/>
  <c r="J7"/>
  <c r="J6"/>
  <c r="M6" s="1"/>
  <c r="J5"/>
  <c r="J4"/>
  <c r="I7"/>
  <c r="I6"/>
  <c r="I5"/>
  <c r="I4"/>
  <c r="I3"/>
  <c r="G7"/>
  <c r="G6"/>
  <c r="G8" s="1"/>
  <c r="G5"/>
  <c r="G4"/>
  <c r="F7"/>
  <c r="F6"/>
  <c r="F8" s="1"/>
  <c r="F5"/>
  <c r="F4"/>
  <c r="F3"/>
  <c r="L3" s="1"/>
  <c r="M3"/>
  <c r="K3"/>
  <c r="J3"/>
  <c r="G3"/>
  <c r="N8" i="4"/>
  <c r="T8" s="1"/>
  <c r="M8"/>
  <c r="S8" s="1"/>
  <c r="N7"/>
  <c r="M7"/>
  <c r="S7" s="1"/>
  <c r="N8" i="3"/>
  <c r="N7"/>
  <c r="N6"/>
  <c r="N4"/>
  <c r="N5"/>
  <c r="N6" i="4"/>
  <c r="T6" s="1"/>
  <c r="M6"/>
  <c r="S6" s="1"/>
  <c r="N5"/>
  <c r="M5"/>
  <c r="N4"/>
  <c r="M4"/>
  <c r="Q10"/>
  <c r="P10"/>
  <c r="O10"/>
  <c r="L10"/>
  <c r="K10"/>
  <c r="J10"/>
  <c r="I10"/>
  <c r="H10"/>
  <c r="G10"/>
  <c r="F10"/>
  <c r="E10"/>
  <c r="D10"/>
  <c r="C10"/>
  <c r="Q9"/>
  <c r="O9"/>
  <c r="L9"/>
  <c r="K9"/>
  <c r="J9"/>
  <c r="I9"/>
  <c r="H9"/>
  <c r="G9"/>
  <c r="F9"/>
  <c r="E9"/>
  <c r="D9"/>
  <c r="C9"/>
  <c r="R8"/>
  <c r="P8"/>
  <c r="R7"/>
  <c r="T7" s="1"/>
  <c r="P7"/>
  <c r="R6"/>
  <c r="P6"/>
  <c r="R5"/>
  <c r="R9" s="1"/>
  <c r="P5"/>
  <c r="S5"/>
  <c r="R4"/>
  <c r="R10" s="1"/>
  <c r="P4"/>
  <c r="P9" s="1"/>
  <c r="P8" i="3"/>
  <c r="P7"/>
  <c r="P6"/>
  <c r="P5"/>
  <c r="P4"/>
  <c r="O9"/>
  <c r="M4" i="2"/>
  <c r="M9" i="3"/>
  <c r="M8"/>
  <c r="S8" s="1"/>
  <c r="M7"/>
  <c r="S7" s="1"/>
  <c r="M6"/>
  <c r="S6" s="1"/>
  <c r="M5"/>
  <c r="M4"/>
  <c r="Q10"/>
  <c r="O10"/>
  <c r="L10"/>
  <c r="K10"/>
  <c r="J10"/>
  <c r="I10"/>
  <c r="H10"/>
  <c r="G10"/>
  <c r="F10"/>
  <c r="E10"/>
  <c r="D10"/>
  <c r="C10"/>
  <c r="Q9"/>
  <c r="L9"/>
  <c r="K9"/>
  <c r="J9"/>
  <c r="I9"/>
  <c r="H9"/>
  <c r="G9"/>
  <c r="F9"/>
  <c r="E9"/>
  <c r="D9"/>
  <c r="C9"/>
  <c r="R8"/>
  <c r="R7"/>
  <c r="R6"/>
  <c r="R5"/>
  <c r="R4"/>
  <c r="R10" s="1"/>
  <c r="R10" i="2"/>
  <c r="Q10"/>
  <c r="P10"/>
  <c r="O10"/>
  <c r="M10"/>
  <c r="L10"/>
  <c r="K10"/>
  <c r="J10"/>
  <c r="I10"/>
  <c r="H10"/>
  <c r="G10"/>
  <c r="F10"/>
  <c r="E10"/>
  <c r="D10"/>
  <c r="C10"/>
  <c r="D9"/>
  <c r="E9"/>
  <c r="F9"/>
  <c r="G9"/>
  <c r="H9"/>
  <c r="I9"/>
  <c r="J9"/>
  <c r="K9"/>
  <c r="L9"/>
  <c r="M9"/>
  <c r="O9"/>
  <c r="P9"/>
  <c r="Q9"/>
  <c r="R9"/>
  <c r="C9"/>
  <c r="T8"/>
  <c r="T7"/>
  <c r="T6"/>
  <c r="T5"/>
  <c r="S8"/>
  <c r="S7"/>
  <c r="S6"/>
  <c r="S5"/>
  <c r="S4"/>
  <c r="S10" s="1"/>
  <c r="R8"/>
  <c r="R7"/>
  <c r="R6"/>
  <c r="R5"/>
  <c r="R4"/>
  <c r="P8"/>
  <c r="P7"/>
  <c r="P6"/>
  <c r="P5"/>
  <c r="P4"/>
  <c r="N8"/>
  <c r="N7"/>
  <c r="N6"/>
  <c r="N5"/>
  <c r="N4"/>
  <c r="N9" s="1"/>
  <c r="M8"/>
  <c r="M7"/>
  <c r="M6"/>
  <c r="M5"/>
  <c r="U13" i="6"/>
  <c r="T13"/>
  <c r="S13"/>
  <c r="R13"/>
  <c r="Q13"/>
  <c r="U12"/>
  <c r="T12"/>
  <c r="R12"/>
  <c r="S12"/>
  <c r="R9"/>
  <c r="S9" s="1"/>
  <c r="T9" s="1"/>
  <c r="U9" s="1"/>
  <c r="R7"/>
  <c r="S7" s="1"/>
  <c r="T7" s="1"/>
  <c r="U7" s="1"/>
  <c r="P13"/>
  <c r="O13"/>
  <c r="N13"/>
  <c r="M13"/>
  <c r="L13"/>
  <c r="K13"/>
  <c r="J13"/>
  <c r="I13"/>
  <c r="H13"/>
  <c r="G13"/>
  <c r="F13"/>
  <c r="E13"/>
  <c r="D13"/>
  <c r="F12"/>
  <c r="G12"/>
  <c r="H12"/>
  <c r="I12"/>
  <c r="J12"/>
  <c r="K12"/>
  <c r="L12"/>
  <c r="M12"/>
  <c r="N12"/>
  <c r="O12"/>
  <c r="P12"/>
  <c r="Q12"/>
  <c r="E12"/>
  <c r="D12"/>
  <c r="U11"/>
  <c r="T11"/>
  <c r="S11"/>
  <c r="U10"/>
  <c r="T10"/>
  <c r="U8"/>
  <c r="T8"/>
  <c r="S10"/>
  <c r="S8"/>
  <c r="R8"/>
  <c r="R11"/>
  <c r="R10"/>
  <c r="L6" i="5" l="1"/>
  <c r="N9" i="3"/>
  <c r="N9" i="4"/>
  <c r="M10"/>
  <c r="T4"/>
  <c r="M9"/>
  <c r="T5"/>
  <c r="N10"/>
  <c r="S4"/>
  <c r="P9" i="3"/>
  <c r="P10"/>
  <c r="T5"/>
  <c r="S9" i="2"/>
  <c r="N10"/>
  <c r="T4"/>
  <c r="T7" i="3"/>
  <c r="M10"/>
  <c r="S5"/>
  <c r="T4"/>
  <c r="T6"/>
  <c r="T8"/>
  <c r="R9"/>
  <c r="S4"/>
  <c r="F16" i="1"/>
  <c r="G16"/>
  <c r="H16"/>
  <c r="I16"/>
  <c r="J16"/>
  <c r="K16"/>
  <c r="L16"/>
  <c r="M16"/>
  <c r="N16"/>
  <c r="O16"/>
  <c r="P16"/>
  <c r="Q16"/>
  <c r="E16"/>
  <c r="D16"/>
  <c r="P15"/>
  <c r="Q15"/>
  <c r="O15"/>
  <c r="N15"/>
  <c r="M15"/>
  <c r="L15"/>
  <c r="K15"/>
  <c r="J15"/>
  <c r="I15"/>
  <c r="H15"/>
  <c r="G15"/>
  <c r="F15"/>
  <c r="E15"/>
  <c r="D15"/>
  <c r="Q14"/>
  <c r="Q13"/>
  <c r="Q12"/>
  <c r="Q11"/>
  <c r="Q10"/>
  <c r="Q9"/>
  <c r="P14"/>
  <c r="P13"/>
  <c r="P12"/>
  <c r="P11"/>
  <c r="P10"/>
  <c r="O14"/>
  <c r="O13"/>
  <c r="O12"/>
  <c r="O11"/>
  <c r="O10"/>
  <c r="P9"/>
  <c r="O9"/>
  <c r="G14"/>
  <c r="G13"/>
  <c r="G12"/>
  <c r="G11"/>
  <c r="G10"/>
  <c r="G9"/>
  <c r="M14"/>
  <c r="M13"/>
  <c r="M11"/>
  <c r="M12"/>
  <c r="M10"/>
  <c r="M9"/>
  <c r="S9" i="4" l="1"/>
  <c r="S10"/>
  <c r="T10"/>
  <c r="T9"/>
  <c r="T10" i="2"/>
  <c r="T9"/>
  <c r="S10" i="3"/>
  <c r="S9"/>
  <c r="T10"/>
  <c r="T9"/>
  <c r="N10"/>
</calcChain>
</file>

<file path=xl/sharedStrings.xml><?xml version="1.0" encoding="utf-8"?>
<sst xmlns="http://schemas.openxmlformats.org/spreadsheetml/2006/main" count="243" uniqueCount="123">
  <si>
    <t>test3</t>
  </si>
  <si>
    <t>student</t>
  </si>
  <si>
    <t>test 1</t>
  </si>
  <si>
    <t>test2</t>
  </si>
  <si>
    <t>Billy</t>
  </si>
  <si>
    <t>Jenna</t>
  </si>
  <si>
    <t>Jeanne</t>
  </si>
  <si>
    <t>Bobby</t>
  </si>
  <si>
    <t>Loretta</t>
  </si>
  <si>
    <t>Sarah</t>
  </si>
  <si>
    <t>Hw 1</t>
  </si>
  <si>
    <t>Hw 15%</t>
  </si>
  <si>
    <t>hw4</t>
  </si>
  <si>
    <t xml:space="preserve">hw 5 </t>
  </si>
  <si>
    <t>hw 2</t>
  </si>
  <si>
    <t>hw 3</t>
  </si>
  <si>
    <t xml:space="preserve">Final </t>
  </si>
  <si>
    <t>tests 60%</t>
  </si>
  <si>
    <t>final 25%</t>
  </si>
  <si>
    <t>total average</t>
  </si>
  <si>
    <t>total points out of 450</t>
  </si>
  <si>
    <t>a = 100-90%</t>
  </si>
  <si>
    <t>b = 89-80%</t>
  </si>
  <si>
    <t>c = 79-70%</t>
  </si>
  <si>
    <t>d = 69-60%</t>
  </si>
  <si>
    <t xml:space="preserve">f = 50-0% </t>
  </si>
  <si>
    <t xml:space="preserve">final Grade </t>
  </si>
  <si>
    <t>B</t>
  </si>
  <si>
    <t>A</t>
  </si>
  <si>
    <t>C</t>
  </si>
  <si>
    <t>MEAN</t>
  </si>
  <si>
    <t>SD</t>
  </si>
  <si>
    <t>Amanda</t>
  </si>
  <si>
    <t>Gabby</t>
  </si>
  <si>
    <t>Andrew</t>
  </si>
  <si>
    <t>Brady</t>
  </si>
  <si>
    <t>Ali</t>
  </si>
  <si>
    <t>Mid-term</t>
  </si>
  <si>
    <t>Final</t>
  </si>
  <si>
    <t>HistoryProject</t>
  </si>
  <si>
    <t>Stat Project</t>
  </si>
  <si>
    <t>Final Project</t>
  </si>
  <si>
    <t>Project 2</t>
  </si>
  <si>
    <t>Project 1</t>
  </si>
  <si>
    <t>Project3</t>
  </si>
  <si>
    <t xml:space="preserve">Project 7 </t>
  </si>
  <si>
    <t xml:space="preserve">Project 6 </t>
  </si>
  <si>
    <t>Project 5</t>
  </si>
  <si>
    <t>Letter grade</t>
  </si>
  <si>
    <t>out of 950</t>
  </si>
  <si>
    <t>project 8</t>
  </si>
  <si>
    <t>project 9</t>
  </si>
  <si>
    <t xml:space="preserve">project total </t>
  </si>
  <si>
    <t>out of 900</t>
  </si>
  <si>
    <t>project total</t>
  </si>
  <si>
    <t>out f 450</t>
  </si>
  <si>
    <t>total points</t>
  </si>
  <si>
    <t>average</t>
  </si>
  <si>
    <t>Project 4</t>
  </si>
  <si>
    <t>Mean</t>
  </si>
  <si>
    <t>students</t>
  </si>
  <si>
    <t>Mark</t>
  </si>
  <si>
    <t>Rose</t>
  </si>
  <si>
    <t>Andy</t>
  </si>
  <si>
    <t>Nicole</t>
  </si>
  <si>
    <t>Mary</t>
  </si>
  <si>
    <t>Sally</t>
  </si>
  <si>
    <t>Kim</t>
  </si>
  <si>
    <t>Kyle</t>
  </si>
  <si>
    <t>Mitch</t>
  </si>
  <si>
    <t>Tammy</t>
  </si>
  <si>
    <t>hw 4</t>
  </si>
  <si>
    <t>hw5</t>
  </si>
  <si>
    <t>hw1</t>
  </si>
  <si>
    <t>midterm</t>
  </si>
  <si>
    <t>hw6</t>
  </si>
  <si>
    <t xml:space="preserve">  hw total</t>
  </si>
  <si>
    <t>total</t>
  </si>
  <si>
    <t>final grade</t>
  </si>
  <si>
    <t>midterm 25%</t>
  </si>
  <si>
    <t>hw total 25%</t>
  </si>
  <si>
    <t>final 50%</t>
  </si>
  <si>
    <t>final out</t>
  </si>
  <si>
    <t>of 200</t>
  </si>
  <si>
    <t>hw7</t>
  </si>
  <si>
    <t>hw8</t>
  </si>
  <si>
    <t>hw9</t>
  </si>
  <si>
    <t>hw10</t>
  </si>
  <si>
    <t>out of 400</t>
  </si>
  <si>
    <t>D</t>
  </si>
  <si>
    <t xml:space="preserve">Homwork total </t>
  </si>
  <si>
    <t xml:space="preserve">  minus lowest grade</t>
  </si>
  <si>
    <t>hw total 30%</t>
  </si>
  <si>
    <t>midterm 20%</t>
  </si>
  <si>
    <t>out of 390</t>
  </si>
  <si>
    <t xml:space="preserve">  minus 2 lowest grades</t>
  </si>
  <si>
    <t>Jamie</t>
  </si>
  <si>
    <t>John</t>
  </si>
  <si>
    <t>Kate</t>
  </si>
  <si>
    <t>Brad</t>
  </si>
  <si>
    <t>Holly</t>
  </si>
  <si>
    <t xml:space="preserve">Mean </t>
  </si>
  <si>
    <t>Test1</t>
  </si>
  <si>
    <t>Test2</t>
  </si>
  <si>
    <t>Test3</t>
  </si>
  <si>
    <t xml:space="preserve">final </t>
  </si>
  <si>
    <t>Final if 1/3 of grade</t>
  </si>
  <si>
    <t>Test Average if 50% of grade</t>
  </si>
  <si>
    <t>Test Average 2/3 of grade</t>
  </si>
  <si>
    <t xml:space="preserve">Total points </t>
  </si>
  <si>
    <t>Average for option A</t>
  </si>
  <si>
    <t>Average option B</t>
  </si>
  <si>
    <t>Final Grade</t>
  </si>
  <si>
    <t>option A</t>
  </si>
  <si>
    <t>option B</t>
  </si>
  <si>
    <t>Final if 50% of grade</t>
  </si>
  <si>
    <t xml:space="preserve">out of 400 </t>
  </si>
  <si>
    <t>the grade  given is highlighted in yellow</t>
  </si>
  <si>
    <t>what if you have 137 students? are you going to want to have to go into their HW grades and drop the lowest two manually for all 137 students??</t>
  </si>
  <si>
    <t>are you going to want to do that if you have Excel available?</t>
  </si>
  <si>
    <t>what if you have 137 students? are you going to want to have to go into their HW grades and drop the lowest grade manually for all 137 students??</t>
  </si>
  <si>
    <t>did you have to manually go in an decide which scenario to choose?</t>
  </si>
  <si>
    <t>could Excel do that for you?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</si>
</sst>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V17"/>
  <sheetViews>
    <sheetView topLeftCell="A6" workbookViewId="0">
      <selection activeCell="H28" sqref="H28:H29"/>
    </sheetView>
  </sheetViews>
  <sheetFormatPr defaultRowHeight="15"/>
  <cols>
    <col min="6" max="6" width="14.5703125" customWidth="1"/>
    <col min="7" max="7" width="12" customWidth="1"/>
    <col min="8" max="8" width="14.28515625" customWidth="1"/>
    <col min="17" max="17" width="10.7109375" customWidth="1"/>
    <col min="18" max="18" width="12.140625" customWidth="1"/>
    <col min="19" max="19" width="13.85546875" customWidth="1"/>
    <col min="20" max="20" width="13.28515625" customWidth="1"/>
    <col min="22" max="22" width="14" customWidth="1"/>
  </cols>
  <sheetData>
    <row r="1" spans="3:22">
      <c r="V1" s="1"/>
    </row>
    <row r="2" spans="3:22">
      <c r="V2" s="1"/>
    </row>
    <row r="3" spans="3:22">
      <c r="V3" s="1"/>
    </row>
    <row r="4" spans="3:22">
      <c r="V4" s="1"/>
    </row>
    <row r="5" spans="3:22">
      <c r="R5" t="s">
        <v>52</v>
      </c>
      <c r="S5" t="s">
        <v>54</v>
      </c>
      <c r="T5" t="s">
        <v>56</v>
      </c>
      <c r="V5" s="1"/>
    </row>
    <row r="6" spans="3:22">
      <c r="C6" t="s">
        <v>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43</v>
      </c>
      <c r="J6" t="s">
        <v>42</v>
      </c>
      <c r="K6" t="s">
        <v>44</v>
      </c>
      <c r="L6" t="s">
        <v>58</v>
      </c>
      <c r="M6" t="s">
        <v>47</v>
      </c>
      <c r="N6" t="s">
        <v>46</v>
      </c>
      <c r="O6" t="s">
        <v>45</v>
      </c>
      <c r="P6" t="s">
        <v>50</v>
      </c>
      <c r="Q6" t="s">
        <v>51</v>
      </c>
      <c r="R6" t="s">
        <v>53</v>
      </c>
      <c r="S6" t="s">
        <v>55</v>
      </c>
      <c r="T6" t="s">
        <v>49</v>
      </c>
      <c r="U6" t="s">
        <v>57</v>
      </c>
      <c r="V6" t="s">
        <v>48</v>
      </c>
    </row>
    <row r="7" spans="3:22">
      <c r="C7" t="s">
        <v>32</v>
      </c>
      <c r="D7">
        <v>89</v>
      </c>
      <c r="E7">
        <v>90</v>
      </c>
      <c r="F7">
        <v>87</v>
      </c>
      <c r="G7">
        <v>100</v>
      </c>
      <c r="H7">
        <v>85</v>
      </c>
      <c r="I7">
        <v>100</v>
      </c>
      <c r="J7">
        <v>89</v>
      </c>
      <c r="K7">
        <v>76</v>
      </c>
      <c r="L7">
        <v>90</v>
      </c>
      <c r="M7">
        <v>90</v>
      </c>
      <c r="N7">
        <v>94</v>
      </c>
      <c r="O7">
        <v>98</v>
      </c>
      <c r="P7">
        <v>93</v>
      </c>
      <c r="Q7">
        <v>85</v>
      </c>
      <c r="R7">
        <f>SUM(I7:Q7)</f>
        <v>815</v>
      </c>
      <c r="S7">
        <f t="shared" ref="S7:S12" si="0">R7/2</f>
        <v>407.5</v>
      </c>
      <c r="T7">
        <f>S7+G7+F7+H7+E7+D7</f>
        <v>858.5</v>
      </c>
      <c r="U7">
        <f>T7/950*100</f>
        <v>90.368421052631575</v>
      </c>
      <c r="V7" t="s">
        <v>28</v>
      </c>
    </row>
    <row r="8" spans="3:22">
      <c r="C8" t="s">
        <v>33</v>
      </c>
      <c r="D8">
        <v>90</v>
      </c>
      <c r="E8">
        <v>78</v>
      </c>
      <c r="F8">
        <v>98</v>
      </c>
      <c r="G8">
        <v>94</v>
      </c>
      <c r="H8">
        <v>80</v>
      </c>
      <c r="I8">
        <v>100</v>
      </c>
      <c r="J8">
        <v>92</v>
      </c>
      <c r="K8">
        <v>80</v>
      </c>
      <c r="L8">
        <v>84</v>
      </c>
      <c r="M8">
        <v>78</v>
      </c>
      <c r="N8">
        <v>72</v>
      </c>
      <c r="O8">
        <v>82</v>
      </c>
      <c r="P8">
        <v>90</v>
      </c>
      <c r="Q8">
        <v>92</v>
      </c>
      <c r="R8">
        <f>SUM(I8:Q8)</f>
        <v>770</v>
      </c>
      <c r="S8">
        <f t="shared" si="0"/>
        <v>385</v>
      </c>
      <c r="T8">
        <f>S8+D8+E8+F8+G8+H8</f>
        <v>825</v>
      </c>
      <c r="U8">
        <f>T8/950*100</f>
        <v>86.842105263157904</v>
      </c>
      <c r="V8" t="s">
        <v>27</v>
      </c>
    </row>
    <row r="9" spans="3:22">
      <c r="C9" t="s">
        <v>34</v>
      </c>
      <c r="D9">
        <v>68</v>
      </c>
      <c r="E9">
        <v>79</v>
      </c>
      <c r="F9">
        <v>67</v>
      </c>
      <c r="G9">
        <v>80</v>
      </c>
      <c r="H9">
        <v>72</v>
      </c>
      <c r="I9">
        <v>100</v>
      </c>
      <c r="J9">
        <v>98</v>
      </c>
      <c r="K9">
        <v>89</v>
      </c>
      <c r="L9">
        <v>90</v>
      </c>
      <c r="M9">
        <v>97</v>
      </c>
      <c r="N9">
        <v>65</v>
      </c>
      <c r="O9">
        <v>78</v>
      </c>
      <c r="P9">
        <v>72</v>
      </c>
      <c r="Q9">
        <v>49</v>
      </c>
      <c r="R9">
        <f>SUM(I9:Q9)</f>
        <v>738</v>
      </c>
      <c r="S9">
        <f t="shared" si="0"/>
        <v>369</v>
      </c>
      <c r="T9">
        <f>S9+H9+G9+F9+E9+D9</f>
        <v>735</v>
      </c>
      <c r="U9">
        <f>T9/950*100</f>
        <v>77.368421052631575</v>
      </c>
      <c r="V9" t="s">
        <v>29</v>
      </c>
    </row>
    <row r="10" spans="3:22">
      <c r="C10" t="s">
        <v>35</v>
      </c>
      <c r="D10">
        <v>57</v>
      </c>
      <c r="E10">
        <v>75</v>
      </c>
      <c r="F10">
        <v>76</v>
      </c>
      <c r="G10">
        <v>56</v>
      </c>
      <c r="H10">
        <v>78</v>
      </c>
      <c r="I10">
        <v>100</v>
      </c>
      <c r="J10">
        <v>78</v>
      </c>
      <c r="K10">
        <v>48</v>
      </c>
      <c r="L10">
        <v>78</v>
      </c>
      <c r="M10">
        <v>64</v>
      </c>
      <c r="N10">
        <v>59</v>
      </c>
      <c r="O10">
        <v>90</v>
      </c>
      <c r="P10">
        <v>80</v>
      </c>
      <c r="Q10">
        <v>78</v>
      </c>
      <c r="R10">
        <f>SUM(I10:Q10)</f>
        <v>675</v>
      </c>
      <c r="S10">
        <f t="shared" si="0"/>
        <v>337.5</v>
      </c>
      <c r="T10">
        <f>S10+D10+E10+F10+G10+H10</f>
        <v>679.5</v>
      </c>
      <c r="U10">
        <f>T10/950*100</f>
        <v>71.526315789473685</v>
      </c>
      <c r="V10" t="s">
        <v>29</v>
      </c>
    </row>
    <row r="11" spans="3:22">
      <c r="C11" t="s">
        <v>36</v>
      </c>
      <c r="D11">
        <v>89</v>
      </c>
      <c r="E11">
        <v>94</v>
      </c>
      <c r="F11">
        <v>87</v>
      </c>
      <c r="G11">
        <v>75</v>
      </c>
      <c r="H11">
        <v>86</v>
      </c>
      <c r="I11">
        <v>100</v>
      </c>
      <c r="J11">
        <v>89</v>
      </c>
      <c r="K11">
        <v>89</v>
      </c>
      <c r="L11">
        <v>78</v>
      </c>
      <c r="M11">
        <v>90</v>
      </c>
      <c r="N11">
        <v>84</v>
      </c>
      <c r="O11">
        <v>88</v>
      </c>
      <c r="P11">
        <v>90</v>
      </c>
      <c r="Q11">
        <v>92</v>
      </c>
      <c r="R11">
        <f>SUM(I11:Q11)</f>
        <v>800</v>
      </c>
      <c r="S11">
        <f t="shared" si="0"/>
        <v>400</v>
      </c>
      <c r="T11">
        <f>E11+D11+S11+F11+G11+H11</f>
        <v>831</v>
      </c>
      <c r="U11">
        <f>T11/950*100</f>
        <v>87.473684210526315</v>
      </c>
      <c r="V11" t="s">
        <v>27</v>
      </c>
    </row>
    <row r="12" spans="3:22">
      <c r="C12" t="s">
        <v>59</v>
      </c>
      <c r="D12">
        <f t="shared" ref="D12:R12" si="1">AVERAGE(D7:D11)</f>
        <v>78.599999999999994</v>
      </c>
      <c r="E12">
        <f t="shared" si="1"/>
        <v>83.2</v>
      </c>
      <c r="F12">
        <f t="shared" si="1"/>
        <v>83</v>
      </c>
      <c r="G12">
        <f t="shared" si="1"/>
        <v>81</v>
      </c>
      <c r="H12">
        <f t="shared" si="1"/>
        <v>80.2</v>
      </c>
      <c r="I12">
        <f t="shared" si="1"/>
        <v>100</v>
      </c>
      <c r="J12">
        <f t="shared" si="1"/>
        <v>89.2</v>
      </c>
      <c r="K12">
        <f t="shared" si="1"/>
        <v>76.400000000000006</v>
      </c>
      <c r="L12">
        <f t="shared" si="1"/>
        <v>84</v>
      </c>
      <c r="M12">
        <f t="shared" si="1"/>
        <v>83.8</v>
      </c>
      <c r="N12">
        <f t="shared" si="1"/>
        <v>74.8</v>
      </c>
      <c r="O12">
        <f t="shared" si="1"/>
        <v>87.2</v>
      </c>
      <c r="P12">
        <f t="shared" si="1"/>
        <v>85</v>
      </c>
      <c r="Q12">
        <f t="shared" si="1"/>
        <v>79.2</v>
      </c>
      <c r="R12">
        <f t="shared" si="1"/>
        <v>759.6</v>
      </c>
      <c r="S12">
        <f t="shared" si="0"/>
        <v>379.8</v>
      </c>
      <c r="T12">
        <f>AVERAGE(T7:T11)</f>
        <v>785.8</v>
      </c>
      <c r="U12">
        <f>AVERAGE(U7:U11)</f>
        <v>82.715789473684211</v>
      </c>
      <c r="V12" t="s">
        <v>27</v>
      </c>
    </row>
    <row r="13" spans="3:22">
      <c r="C13" t="s">
        <v>31</v>
      </c>
      <c r="D13">
        <f t="shared" ref="D13:U13" si="2">STDEV(D7:D11)</f>
        <v>15.208550226763897</v>
      </c>
      <c r="E13">
        <f t="shared" si="2"/>
        <v>8.2885463140408842</v>
      </c>
      <c r="F13">
        <f t="shared" si="2"/>
        <v>11.853269591129697</v>
      </c>
      <c r="G13">
        <f t="shared" si="2"/>
        <v>17.262676501632068</v>
      </c>
      <c r="H13">
        <f t="shared" si="2"/>
        <v>5.6745043836444271</v>
      </c>
      <c r="I13">
        <f t="shared" si="2"/>
        <v>0</v>
      </c>
      <c r="J13">
        <f t="shared" si="2"/>
        <v>7.2594765651526645</v>
      </c>
      <c r="K13">
        <f t="shared" si="2"/>
        <v>16.861198059449993</v>
      </c>
      <c r="L13">
        <f t="shared" si="2"/>
        <v>6</v>
      </c>
      <c r="M13">
        <f t="shared" si="2"/>
        <v>13.007690033207307</v>
      </c>
      <c r="N13">
        <f t="shared" si="2"/>
        <v>14.202112518917733</v>
      </c>
      <c r="O13">
        <f t="shared" si="2"/>
        <v>7.6941536246685853</v>
      </c>
      <c r="P13">
        <f t="shared" si="2"/>
        <v>8.7749643873921226</v>
      </c>
      <c r="Q13">
        <f t="shared" si="2"/>
        <v>17.852170736355841</v>
      </c>
      <c r="R13">
        <f t="shared" si="2"/>
        <v>55.752130004153621</v>
      </c>
      <c r="S13">
        <f t="shared" si="2"/>
        <v>27.87606500207681</v>
      </c>
      <c r="T13">
        <f t="shared" si="2"/>
        <v>75.407725068456699</v>
      </c>
      <c r="U13">
        <f t="shared" si="2"/>
        <v>7.9376552703638659</v>
      </c>
      <c r="V13" t="s">
        <v>21</v>
      </c>
    </row>
    <row r="14" spans="3:22">
      <c r="V14" t="s">
        <v>22</v>
      </c>
    </row>
    <row r="15" spans="3:22">
      <c r="V15" t="s">
        <v>23</v>
      </c>
    </row>
    <row r="16" spans="3:22">
      <c r="V16" t="s">
        <v>24</v>
      </c>
    </row>
    <row r="17" spans="22:22">
      <c r="V17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R16"/>
  <sheetViews>
    <sheetView topLeftCell="D1" workbookViewId="0">
      <selection activeCell="E15" sqref="E15"/>
    </sheetView>
  </sheetViews>
  <sheetFormatPr defaultRowHeight="15"/>
  <cols>
    <col min="5" max="5" width="10.5703125" customWidth="1"/>
    <col min="8" max="8" width="6.7109375" customWidth="1"/>
    <col min="10" max="10" width="10.5703125" customWidth="1"/>
    <col min="16" max="16" width="12.42578125" customWidth="1"/>
    <col min="17" max="17" width="20.7109375" customWidth="1"/>
  </cols>
  <sheetData>
    <row r="2" spans="3:18">
      <c r="J2" t="s">
        <v>21</v>
      </c>
    </row>
    <row r="3" spans="3:18">
      <c r="J3" t="s">
        <v>22</v>
      </c>
    </row>
    <row r="4" spans="3:18">
      <c r="J4" t="s">
        <v>23</v>
      </c>
    </row>
    <row r="5" spans="3:18">
      <c r="J5" t="s">
        <v>24</v>
      </c>
    </row>
    <row r="6" spans="3:18">
      <c r="J6" t="s">
        <v>25</v>
      </c>
    </row>
    <row r="8" spans="3:18">
      <c r="C8" t="s">
        <v>1</v>
      </c>
      <c r="D8" t="s">
        <v>2</v>
      </c>
      <c r="E8" t="s">
        <v>3</v>
      </c>
      <c r="F8" t="s">
        <v>0</v>
      </c>
      <c r="G8" t="s">
        <v>17</v>
      </c>
      <c r="H8" t="s">
        <v>10</v>
      </c>
      <c r="I8" t="s">
        <v>14</v>
      </c>
      <c r="J8" t="s">
        <v>15</v>
      </c>
      <c r="K8" t="s">
        <v>12</v>
      </c>
      <c r="L8" t="s">
        <v>13</v>
      </c>
      <c r="M8" t="s">
        <v>11</v>
      </c>
      <c r="N8" t="s">
        <v>16</v>
      </c>
      <c r="O8" t="s">
        <v>18</v>
      </c>
      <c r="P8" t="s">
        <v>19</v>
      </c>
      <c r="Q8" t="s">
        <v>20</v>
      </c>
      <c r="R8" t="s">
        <v>26</v>
      </c>
    </row>
    <row r="9" spans="3:18">
      <c r="C9" t="s">
        <v>4</v>
      </c>
      <c r="D9">
        <v>82</v>
      </c>
      <c r="E9">
        <v>85</v>
      </c>
      <c r="F9">
        <v>79</v>
      </c>
      <c r="G9">
        <f t="shared" ref="G9:G14" si="0">SUM(D9:F9)/3*0.6</f>
        <v>49.199999999999996</v>
      </c>
      <c r="H9">
        <v>10</v>
      </c>
      <c r="I9">
        <v>8</v>
      </c>
      <c r="J9">
        <v>9</v>
      </c>
      <c r="K9">
        <v>10</v>
      </c>
      <c r="L9">
        <v>5</v>
      </c>
      <c r="M9">
        <f t="shared" ref="M9:M14" si="1">SUM(H9:L9)/5*1.5</f>
        <v>12.600000000000001</v>
      </c>
      <c r="N9">
        <v>89</v>
      </c>
      <c r="O9">
        <f t="shared" ref="O9:O14" si="2">N9*0.25</f>
        <v>22.25</v>
      </c>
      <c r="P9">
        <f>O9+M9+G9</f>
        <v>84.05</v>
      </c>
      <c r="Q9">
        <f t="shared" ref="Q9:Q14" si="3">SUM(D9,E9,F9,H9,I9,J9,K9,L9,N9)</f>
        <v>377</v>
      </c>
      <c r="R9" t="s">
        <v>27</v>
      </c>
    </row>
    <row r="10" spans="3:18">
      <c r="C10" t="s">
        <v>5</v>
      </c>
      <c r="D10">
        <v>100</v>
      </c>
      <c r="E10">
        <v>94</v>
      </c>
      <c r="F10">
        <v>78</v>
      </c>
      <c r="G10">
        <f t="shared" si="0"/>
        <v>54.4</v>
      </c>
      <c r="H10">
        <v>9</v>
      </c>
      <c r="I10">
        <v>7</v>
      </c>
      <c r="J10">
        <v>8</v>
      </c>
      <c r="K10">
        <v>10</v>
      </c>
      <c r="L10">
        <v>10</v>
      </c>
      <c r="M10">
        <f t="shared" si="1"/>
        <v>13.200000000000001</v>
      </c>
      <c r="N10">
        <v>92</v>
      </c>
      <c r="O10">
        <f t="shared" si="2"/>
        <v>23</v>
      </c>
      <c r="P10">
        <f>G10+M10+O10</f>
        <v>90.6</v>
      </c>
      <c r="Q10">
        <f t="shared" si="3"/>
        <v>408</v>
      </c>
      <c r="R10" t="s">
        <v>28</v>
      </c>
    </row>
    <row r="11" spans="3:18">
      <c r="C11" t="s">
        <v>6</v>
      </c>
      <c r="D11">
        <v>89</v>
      </c>
      <c r="E11">
        <v>79</v>
      </c>
      <c r="F11">
        <v>90</v>
      </c>
      <c r="G11">
        <f t="shared" si="0"/>
        <v>51.6</v>
      </c>
      <c r="H11">
        <v>8</v>
      </c>
      <c r="I11">
        <v>6</v>
      </c>
      <c r="J11">
        <v>5</v>
      </c>
      <c r="K11">
        <v>10</v>
      </c>
      <c r="L11">
        <v>8</v>
      </c>
      <c r="M11">
        <f t="shared" si="1"/>
        <v>11.100000000000001</v>
      </c>
      <c r="N11">
        <v>85</v>
      </c>
      <c r="O11">
        <f t="shared" si="2"/>
        <v>21.25</v>
      </c>
      <c r="P11">
        <f>G11+M11+O11</f>
        <v>83.95</v>
      </c>
      <c r="Q11">
        <f t="shared" si="3"/>
        <v>380</v>
      </c>
      <c r="R11" t="s">
        <v>27</v>
      </c>
    </row>
    <row r="12" spans="3:18">
      <c r="C12" t="s">
        <v>7</v>
      </c>
      <c r="D12">
        <v>88</v>
      </c>
      <c r="E12">
        <v>52</v>
      </c>
      <c r="F12">
        <v>75</v>
      </c>
      <c r="G12">
        <f t="shared" si="0"/>
        <v>43</v>
      </c>
      <c r="H12">
        <v>6</v>
      </c>
      <c r="I12">
        <v>8</v>
      </c>
      <c r="J12">
        <v>9</v>
      </c>
      <c r="K12">
        <v>8</v>
      </c>
      <c r="L12">
        <v>9</v>
      </c>
      <c r="M12">
        <f t="shared" si="1"/>
        <v>12</v>
      </c>
      <c r="N12">
        <v>78</v>
      </c>
      <c r="O12">
        <f t="shared" si="2"/>
        <v>19.5</v>
      </c>
      <c r="P12">
        <f>G12+M12+O12</f>
        <v>74.5</v>
      </c>
      <c r="Q12">
        <f t="shared" si="3"/>
        <v>333</v>
      </c>
      <c r="R12" t="s">
        <v>29</v>
      </c>
    </row>
    <row r="13" spans="3:18">
      <c r="C13" t="s">
        <v>8</v>
      </c>
      <c r="D13">
        <v>72</v>
      </c>
      <c r="E13">
        <v>65</v>
      </c>
      <c r="F13">
        <v>80</v>
      </c>
      <c r="G13">
        <f t="shared" si="0"/>
        <v>43.4</v>
      </c>
      <c r="H13">
        <v>7</v>
      </c>
      <c r="I13">
        <v>10</v>
      </c>
      <c r="J13">
        <v>5</v>
      </c>
      <c r="K13">
        <v>6</v>
      </c>
      <c r="L13">
        <v>4</v>
      </c>
      <c r="M13">
        <f t="shared" si="1"/>
        <v>9.6000000000000014</v>
      </c>
      <c r="N13">
        <v>72</v>
      </c>
      <c r="O13">
        <f t="shared" si="2"/>
        <v>18</v>
      </c>
      <c r="P13">
        <f>G13+M13+O13</f>
        <v>71</v>
      </c>
      <c r="Q13">
        <f t="shared" si="3"/>
        <v>321</v>
      </c>
      <c r="R13" t="s">
        <v>29</v>
      </c>
    </row>
    <row r="14" spans="3:18">
      <c r="C14" t="s">
        <v>9</v>
      </c>
      <c r="D14">
        <v>72</v>
      </c>
      <c r="E14">
        <v>68</v>
      </c>
      <c r="F14">
        <v>76</v>
      </c>
      <c r="G14">
        <f t="shared" si="0"/>
        <v>43.199999999999996</v>
      </c>
      <c r="H14">
        <v>6</v>
      </c>
      <c r="I14">
        <v>4</v>
      </c>
      <c r="J14">
        <v>7</v>
      </c>
      <c r="K14">
        <v>8</v>
      </c>
      <c r="L14">
        <v>5</v>
      </c>
      <c r="M14">
        <f t="shared" si="1"/>
        <v>9</v>
      </c>
      <c r="N14">
        <v>76</v>
      </c>
      <c r="O14">
        <f t="shared" si="2"/>
        <v>19</v>
      </c>
      <c r="P14">
        <f>G14+M14+O14</f>
        <v>71.199999999999989</v>
      </c>
      <c r="Q14">
        <f t="shared" si="3"/>
        <v>322</v>
      </c>
      <c r="R14" t="s">
        <v>29</v>
      </c>
    </row>
    <row r="15" spans="3:18">
      <c r="C15" t="s">
        <v>30</v>
      </c>
      <c r="D15">
        <f t="shared" ref="D15:Q15" si="4">AVERAGE(D9:D14)</f>
        <v>83.833333333333329</v>
      </c>
      <c r="E15">
        <f t="shared" si="4"/>
        <v>73.833333333333329</v>
      </c>
      <c r="F15">
        <f t="shared" si="4"/>
        <v>79.666666666666671</v>
      </c>
      <c r="G15">
        <f t="shared" si="4"/>
        <v>47.466666666666669</v>
      </c>
      <c r="H15">
        <f t="shared" si="4"/>
        <v>7.666666666666667</v>
      </c>
      <c r="I15">
        <f t="shared" si="4"/>
        <v>7.166666666666667</v>
      </c>
      <c r="J15">
        <f t="shared" si="4"/>
        <v>7.166666666666667</v>
      </c>
      <c r="K15">
        <f t="shared" si="4"/>
        <v>8.6666666666666661</v>
      </c>
      <c r="L15">
        <f t="shared" si="4"/>
        <v>6.833333333333333</v>
      </c>
      <c r="M15">
        <f t="shared" si="4"/>
        <v>11.25</v>
      </c>
      <c r="N15">
        <f t="shared" si="4"/>
        <v>82</v>
      </c>
      <c r="O15">
        <f t="shared" si="4"/>
        <v>20.5</v>
      </c>
      <c r="P15">
        <f t="shared" si="4"/>
        <v>79.216666666666654</v>
      </c>
      <c r="Q15">
        <f t="shared" si="4"/>
        <v>356.83333333333331</v>
      </c>
      <c r="R15" t="s">
        <v>29</v>
      </c>
    </row>
    <row r="16" spans="3:18">
      <c r="C16" t="s">
        <v>31</v>
      </c>
      <c r="D16">
        <f>STDEV(D9:D14)</f>
        <v>10.852035139395152</v>
      </c>
      <c r="E16">
        <f>STDEV(E9:E14)</f>
        <v>15.144856112445124</v>
      </c>
      <c r="F16">
        <f t="shared" ref="F16:Q16" si="5">STDEV(F9:F14)</f>
        <v>5.391351098441528</v>
      </c>
      <c r="G16">
        <f t="shared" si="5"/>
        <v>4.9568807396049657</v>
      </c>
      <c r="H16">
        <f t="shared" si="5"/>
        <v>1.632993161855451</v>
      </c>
      <c r="I16">
        <f t="shared" si="5"/>
        <v>2.0412414523193139</v>
      </c>
      <c r="J16">
        <f t="shared" si="5"/>
        <v>1.8348478592697168</v>
      </c>
      <c r="K16">
        <f t="shared" si="5"/>
        <v>1.632993161855451</v>
      </c>
      <c r="L16">
        <f t="shared" si="5"/>
        <v>2.483277404291889</v>
      </c>
      <c r="M16">
        <f t="shared" si="5"/>
        <v>1.6730212192318492</v>
      </c>
      <c r="N16">
        <f t="shared" si="5"/>
        <v>7.8740078740118111</v>
      </c>
      <c r="O16">
        <f t="shared" si="5"/>
        <v>1.9685019685029528</v>
      </c>
      <c r="P16">
        <f t="shared" si="5"/>
        <v>8.116321005644533</v>
      </c>
      <c r="Q16">
        <f t="shared" si="5"/>
        <v>36.405585652021401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U16"/>
  <sheetViews>
    <sheetView workbookViewId="0">
      <selection activeCell="U14" sqref="U14"/>
    </sheetView>
  </sheetViews>
  <sheetFormatPr defaultRowHeight="15"/>
  <cols>
    <col min="3" max="3" width="8.5703125" customWidth="1"/>
    <col min="10" max="10" width="12.5703125" customWidth="1"/>
    <col min="12" max="12" width="9.7109375" customWidth="1"/>
    <col min="14" max="14" width="12.28515625" customWidth="1"/>
    <col min="15" max="15" width="12.140625" customWidth="1"/>
    <col min="16" max="16" width="16" customWidth="1"/>
    <col min="17" max="17" width="10.5703125" customWidth="1"/>
    <col min="19" max="19" width="11.5703125" customWidth="1"/>
  </cols>
  <sheetData>
    <row r="2" spans="2:21">
      <c r="Q2" t="s">
        <v>82</v>
      </c>
      <c r="S2" t="s">
        <v>56</v>
      </c>
      <c r="T2" t="s">
        <v>77</v>
      </c>
    </row>
    <row r="3" spans="2:21">
      <c r="B3" t="s">
        <v>60</v>
      </c>
      <c r="C3" t="s">
        <v>73</v>
      </c>
      <c r="D3" t="s">
        <v>14</v>
      </c>
      <c r="E3" t="s">
        <v>15</v>
      </c>
      <c r="F3" t="s">
        <v>71</v>
      </c>
      <c r="G3" t="s">
        <v>72</v>
      </c>
      <c r="H3" t="s">
        <v>75</v>
      </c>
      <c r="I3" t="s">
        <v>84</v>
      </c>
      <c r="J3" t="s">
        <v>85</v>
      </c>
      <c r="K3" t="s">
        <v>86</v>
      </c>
      <c r="L3" t="s">
        <v>87</v>
      </c>
      <c r="M3" t="s">
        <v>76</v>
      </c>
      <c r="N3" t="s">
        <v>80</v>
      </c>
      <c r="O3" t="s">
        <v>74</v>
      </c>
      <c r="P3" t="s">
        <v>79</v>
      </c>
      <c r="Q3" t="s">
        <v>83</v>
      </c>
      <c r="R3" t="s">
        <v>81</v>
      </c>
      <c r="S3" t="s">
        <v>88</v>
      </c>
      <c r="T3" t="s">
        <v>57</v>
      </c>
      <c r="U3" t="s">
        <v>78</v>
      </c>
    </row>
    <row r="4" spans="2:21">
      <c r="B4" t="s">
        <v>63</v>
      </c>
      <c r="C4">
        <v>9</v>
      </c>
      <c r="D4">
        <v>10</v>
      </c>
      <c r="E4">
        <v>10</v>
      </c>
      <c r="F4">
        <v>7</v>
      </c>
      <c r="G4">
        <v>6</v>
      </c>
      <c r="H4">
        <v>5</v>
      </c>
      <c r="I4">
        <v>10</v>
      </c>
      <c r="J4">
        <v>9</v>
      </c>
      <c r="K4">
        <v>8</v>
      </c>
      <c r="L4">
        <v>6</v>
      </c>
      <c r="M4">
        <f>SUM(C4:L4)</f>
        <v>80</v>
      </c>
      <c r="N4">
        <f>M4*0.25</f>
        <v>20</v>
      </c>
      <c r="O4">
        <v>89</v>
      </c>
      <c r="P4">
        <f>O4*0.25</f>
        <v>22.25</v>
      </c>
      <c r="Q4">
        <v>139</v>
      </c>
      <c r="R4">
        <f>Q4/2*0.5</f>
        <v>34.75</v>
      </c>
      <c r="S4">
        <f>SUM(Q4,O4,M4)</f>
        <v>308</v>
      </c>
      <c r="T4">
        <f>SUM(R4,P4,N4)</f>
        <v>77</v>
      </c>
      <c r="U4" t="s">
        <v>29</v>
      </c>
    </row>
    <row r="5" spans="2:21">
      <c r="B5" t="s">
        <v>62</v>
      </c>
      <c r="C5">
        <v>8</v>
      </c>
      <c r="D5">
        <v>9</v>
      </c>
      <c r="E5">
        <v>9</v>
      </c>
      <c r="F5">
        <v>10</v>
      </c>
      <c r="G5">
        <v>7</v>
      </c>
      <c r="H5">
        <v>0</v>
      </c>
      <c r="I5">
        <v>3</v>
      </c>
      <c r="J5">
        <v>8</v>
      </c>
      <c r="K5">
        <v>7</v>
      </c>
      <c r="L5">
        <v>5</v>
      </c>
      <c r="M5">
        <f>SUM(C5:L5)</f>
        <v>66</v>
      </c>
      <c r="N5">
        <f>M5*0.25</f>
        <v>16.5</v>
      </c>
      <c r="O5">
        <v>78</v>
      </c>
      <c r="P5">
        <f>O5*0.25</f>
        <v>19.5</v>
      </c>
      <c r="Q5">
        <v>128</v>
      </c>
      <c r="R5">
        <f>Q5/2*0.5</f>
        <v>32</v>
      </c>
      <c r="S5">
        <f>SUM(M5,O5,Q5)</f>
        <v>272</v>
      </c>
      <c r="T5">
        <f>SUM(R5,P5,N5)</f>
        <v>68</v>
      </c>
      <c r="U5" t="s">
        <v>89</v>
      </c>
    </row>
    <row r="6" spans="2:21">
      <c r="B6" t="s">
        <v>61</v>
      </c>
      <c r="C6">
        <v>10</v>
      </c>
      <c r="D6">
        <v>4</v>
      </c>
      <c r="E6">
        <v>9</v>
      </c>
      <c r="F6">
        <v>10</v>
      </c>
      <c r="G6">
        <v>9</v>
      </c>
      <c r="H6">
        <v>8</v>
      </c>
      <c r="I6">
        <v>9</v>
      </c>
      <c r="J6">
        <v>7</v>
      </c>
      <c r="K6">
        <v>8</v>
      </c>
      <c r="L6">
        <v>10</v>
      </c>
      <c r="M6">
        <f>SUM(C6:L6)</f>
        <v>84</v>
      </c>
      <c r="N6">
        <f>M6*0.25</f>
        <v>21</v>
      </c>
      <c r="O6">
        <v>90</v>
      </c>
      <c r="P6">
        <f>O6*0.25</f>
        <v>22.5</v>
      </c>
      <c r="Q6">
        <v>172</v>
      </c>
      <c r="R6">
        <f>Q6/2*0.5</f>
        <v>43</v>
      </c>
      <c r="S6">
        <f>SUM(M6,O6,Q6)</f>
        <v>346</v>
      </c>
      <c r="T6">
        <f>SUM(R6,P6,N6)</f>
        <v>86.5</v>
      </c>
      <c r="U6" t="s">
        <v>27</v>
      </c>
    </row>
    <row r="7" spans="2:21">
      <c r="B7" t="s">
        <v>65</v>
      </c>
      <c r="C7">
        <v>4</v>
      </c>
      <c r="D7">
        <v>6</v>
      </c>
      <c r="E7">
        <v>10</v>
      </c>
      <c r="F7">
        <v>8</v>
      </c>
      <c r="G7">
        <v>6</v>
      </c>
      <c r="H7">
        <v>9</v>
      </c>
      <c r="I7">
        <v>6</v>
      </c>
      <c r="J7">
        <v>8</v>
      </c>
      <c r="K7">
        <v>7</v>
      </c>
      <c r="L7">
        <v>10</v>
      </c>
      <c r="M7">
        <f>SUM(C7:L7)</f>
        <v>74</v>
      </c>
      <c r="N7">
        <f>M7*0.25</f>
        <v>18.5</v>
      </c>
      <c r="O7">
        <v>56</v>
      </c>
      <c r="P7">
        <f>O7*0.25</f>
        <v>14</v>
      </c>
      <c r="Q7">
        <v>156</v>
      </c>
      <c r="R7">
        <f>Q7/2*0.5</f>
        <v>39</v>
      </c>
      <c r="S7">
        <f>SUM(M7,O7,Q7)</f>
        <v>286</v>
      </c>
      <c r="T7">
        <f>SUM(R7,P7,N7)</f>
        <v>71.5</v>
      </c>
      <c r="U7" t="s">
        <v>29</v>
      </c>
    </row>
    <row r="8" spans="2:21">
      <c r="B8" t="s">
        <v>66</v>
      </c>
      <c r="C8">
        <v>7</v>
      </c>
      <c r="D8">
        <v>7</v>
      </c>
      <c r="E8">
        <v>5</v>
      </c>
      <c r="F8">
        <v>4</v>
      </c>
      <c r="G8">
        <v>7</v>
      </c>
      <c r="H8">
        <v>8</v>
      </c>
      <c r="I8">
        <v>5</v>
      </c>
      <c r="J8">
        <v>4</v>
      </c>
      <c r="K8">
        <v>3</v>
      </c>
      <c r="L8">
        <v>10</v>
      </c>
      <c r="M8">
        <f>SUM(C8:L8)</f>
        <v>60</v>
      </c>
      <c r="N8">
        <f>M8*0.25</f>
        <v>15</v>
      </c>
      <c r="O8">
        <v>45</v>
      </c>
      <c r="P8">
        <f>O8*0.25</f>
        <v>11.25</v>
      </c>
      <c r="Q8">
        <v>143</v>
      </c>
      <c r="R8">
        <f>Q8/2*0.5</f>
        <v>35.75</v>
      </c>
      <c r="S8">
        <f>SUM(M8,O8,Q8)</f>
        <v>248</v>
      </c>
      <c r="T8">
        <f>SUM(R8,P8,N8)</f>
        <v>62</v>
      </c>
      <c r="U8" t="s">
        <v>89</v>
      </c>
    </row>
    <row r="9" spans="2:21">
      <c r="B9" t="s">
        <v>59</v>
      </c>
      <c r="C9">
        <f t="shared" ref="C9:T9" si="0">AVERAGE(C4:C8)</f>
        <v>7.6</v>
      </c>
      <c r="D9">
        <f t="shared" si="0"/>
        <v>7.2</v>
      </c>
      <c r="E9">
        <f t="shared" si="0"/>
        <v>8.6</v>
      </c>
      <c r="F9">
        <f t="shared" si="0"/>
        <v>7.8</v>
      </c>
      <c r="G9">
        <f t="shared" si="0"/>
        <v>7</v>
      </c>
      <c r="H9">
        <f t="shared" si="0"/>
        <v>6</v>
      </c>
      <c r="I9">
        <f t="shared" si="0"/>
        <v>6.6</v>
      </c>
      <c r="J9">
        <f t="shared" si="0"/>
        <v>7.2</v>
      </c>
      <c r="K9">
        <f t="shared" si="0"/>
        <v>6.6</v>
      </c>
      <c r="L9">
        <f t="shared" si="0"/>
        <v>8.1999999999999993</v>
      </c>
      <c r="M9">
        <f t="shared" si="0"/>
        <v>72.8</v>
      </c>
      <c r="N9">
        <f t="shared" si="0"/>
        <v>18.2</v>
      </c>
      <c r="O9">
        <f t="shared" si="0"/>
        <v>71.599999999999994</v>
      </c>
      <c r="P9">
        <f t="shared" si="0"/>
        <v>17.899999999999999</v>
      </c>
      <c r="Q9">
        <f t="shared" si="0"/>
        <v>147.6</v>
      </c>
      <c r="R9">
        <f t="shared" si="0"/>
        <v>36.9</v>
      </c>
      <c r="S9">
        <f t="shared" si="0"/>
        <v>292</v>
      </c>
      <c r="T9">
        <f t="shared" si="0"/>
        <v>73</v>
      </c>
      <c r="U9" t="s">
        <v>29</v>
      </c>
    </row>
    <row r="10" spans="2:21">
      <c r="B10" t="s">
        <v>31</v>
      </c>
      <c r="C10">
        <f t="shared" ref="C10:T10" si="1">STDEV(C4:C8)</f>
        <v>2.302172886644267</v>
      </c>
      <c r="D10">
        <f t="shared" si="1"/>
        <v>2.3874672772626648</v>
      </c>
      <c r="E10">
        <f t="shared" si="1"/>
        <v>2.0736441353327715</v>
      </c>
      <c r="F10">
        <f t="shared" si="1"/>
        <v>2.4899799195977472</v>
      </c>
      <c r="G10">
        <f t="shared" si="1"/>
        <v>1.2247448713915889</v>
      </c>
      <c r="H10">
        <f t="shared" si="1"/>
        <v>3.6742346141747673</v>
      </c>
      <c r="I10">
        <f t="shared" si="1"/>
        <v>2.8809720581775862</v>
      </c>
      <c r="J10">
        <f t="shared" si="1"/>
        <v>1.9235384061671352</v>
      </c>
      <c r="K10">
        <f t="shared" si="1"/>
        <v>2.0736441353327715</v>
      </c>
      <c r="L10">
        <f t="shared" si="1"/>
        <v>2.4899799195977472</v>
      </c>
      <c r="M10">
        <f t="shared" si="1"/>
        <v>9.85900603509298</v>
      </c>
      <c r="N10">
        <f t="shared" si="1"/>
        <v>2.464751508773245</v>
      </c>
      <c r="O10">
        <f t="shared" si="1"/>
        <v>20.206434618705007</v>
      </c>
      <c r="P10">
        <f t="shared" si="1"/>
        <v>5.0516086546762518</v>
      </c>
      <c r="Q10">
        <f t="shared" si="1"/>
        <v>16.9204018864801</v>
      </c>
      <c r="R10">
        <f t="shared" si="1"/>
        <v>4.230100471620025</v>
      </c>
      <c r="S10">
        <f t="shared" si="1"/>
        <v>37.229020937972571</v>
      </c>
      <c r="T10">
        <f t="shared" si="1"/>
        <v>9.3072552344931427</v>
      </c>
    </row>
    <row r="12" spans="2:21">
      <c r="U12" t="s">
        <v>21</v>
      </c>
    </row>
    <row r="13" spans="2:21">
      <c r="U13" t="s">
        <v>22</v>
      </c>
    </row>
    <row r="14" spans="2:21">
      <c r="U14" t="s">
        <v>23</v>
      </c>
    </row>
    <row r="15" spans="2:21">
      <c r="U15" t="s">
        <v>24</v>
      </c>
    </row>
    <row r="16" spans="2:21">
      <c r="U1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U15"/>
  <sheetViews>
    <sheetView workbookViewId="0">
      <selection activeCell="C13" sqref="C13"/>
    </sheetView>
  </sheetViews>
  <sheetFormatPr defaultRowHeight="15"/>
  <cols>
    <col min="13" max="13" width="21.85546875" customWidth="1"/>
    <col min="14" max="14" width="14.140625" customWidth="1"/>
    <col min="16" max="16" width="19.85546875" customWidth="1"/>
  </cols>
  <sheetData>
    <row r="2" spans="2:21">
      <c r="M2" t="s">
        <v>90</v>
      </c>
      <c r="Q2" t="s">
        <v>82</v>
      </c>
      <c r="S2" t="s">
        <v>56</v>
      </c>
      <c r="T2" t="s">
        <v>77</v>
      </c>
    </row>
    <row r="3" spans="2:21">
      <c r="B3" t="s">
        <v>60</v>
      </c>
      <c r="C3" t="s">
        <v>73</v>
      </c>
      <c r="D3" t="s">
        <v>14</v>
      </c>
      <c r="E3" t="s">
        <v>15</v>
      </c>
      <c r="F3" t="s">
        <v>71</v>
      </c>
      <c r="G3" t="s">
        <v>72</v>
      </c>
      <c r="H3" t="s">
        <v>75</v>
      </c>
      <c r="I3" t="s">
        <v>84</v>
      </c>
      <c r="J3" t="s">
        <v>85</v>
      </c>
      <c r="K3" t="s">
        <v>86</v>
      </c>
      <c r="L3" t="s">
        <v>87</v>
      </c>
      <c r="M3" t="s">
        <v>91</v>
      </c>
      <c r="N3" t="s">
        <v>92</v>
      </c>
      <c r="O3" t="s">
        <v>74</v>
      </c>
      <c r="P3" t="s">
        <v>93</v>
      </c>
      <c r="Q3" t="s">
        <v>83</v>
      </c>
      <c r="R3" t="s">
        <v>81</v>
      </c>
      <c r="S3" t="s">
        <v>94</v>
      </c>
      <c r="T3" t="s">
        <v>57</v>
      </c>
      <c r="U3" t="s">
        <v>78</v>
      </c>
    </row>
    <row r="4" spans="2:21">
      <c r="B4" t="s">
        <v>67</v>
      </c>
      <c r="C4">
        <v>8</v>
      </c>
      <c r="D4">
        <v>9</v>
      </c>
      <c r="E4">
        <v>10</v>
      </c>
      <c r="F4">
        <v>7</v>
      </c>
      <c r="G4">
        <v>4</v>
      </c>
      <c r="H4">
        <v>6</v>
      </c>
      <c r="I4">
        <v>7</v>
      </c>
      <c r="J4">
        <v>9</v>
      </c>
      <c r="K4">
        <v>10</v>
      </c>
      <c r="L4">
        <v>8</v>
      </c>
      <c r="M4">
        <f>SUM(C4:L4)-G4</f>
        <v>74</v>
      </c>
      <c r="N4">
        <f>SUM(H4:L4,C4:F4)/9*3</f>
        <v>24.666666666666664</v>
      </c>
      <c r="O4">
        <v>78</v>
      </c>
      <c r="P4">
        <f>O4*0.2</f>
        <v>15.600000000000001</v>
      </c>
      <c r="Q4">
        <v>179</v>
      </c>
      <c r="R4">
        <f>Q4/2*0.5</f>
        <v>44.75</v>
      </c>
      <c r="S4">
        <f>SUM(Q4,O4,M4)</f>
        <v>331</v>
      </c>
      <c r="T4">
        <f>SUM(R4,P4,N4)</f>
        <v>85.016666666666666</v>
      </c>
      <c r="U4" t="s">
        <v>27</v>
      </c>
    </row>
    <row r="5" spans="2:21">
      <c r="B5" t="s">
        <v>68</v>
      </c>
      <c r="C5">
        <v>7</v>
      </c>
      <c r="D5">
        <v>6</v>
      </c>
      <c r="E5">
        <v>8</v>
      </c>
      <c r="F5">
        <v>7</v>
      </c>
      <c r="G5">
        <v>9</v>
      </c>
      <c r="H5">
        <v>8</v>
      </c>
      <c r="I5">
        <v>10</v>
      </c>
      <c r="J5">
        <v>4</v>
      </c>
      <c r="K5">
        <v>9</v>
      </c>
      <c r="L5">
        <v>6</v>
      </c>
      <c r="M5">
        <f>SUM(C5:L5)-J5</f>
        <v>70</v>
      </c>
      <c r="N5">
        <f>SUM(K5:L5,C5:I5)/9*3</f>
        <v>23.333333333333332</v>
      </c>
      <c r="O5">
        <v>69</v>
      </c>
      <c r="P5">
        <f>O5*0.2</f>
        <v>13.8</v>
      </c>
      <c r="Q5">
        <v>182</v>
      </c>
      <c r="R5">
        <f>Q5/2*0.5</f>
        <v>45.5</v>
      </c>
      <c r="S5">
        <f>SUM(M5,O5,Q5)</f>
        <v>321</v>
      </c>
      <c r="T5">
        <f>SUM(R5,P5,N5)</f>
        <v>82.633333333333326</v>
      </c>
      <c r="U5" t="s">
        <v>27</v>
      </c>
    </row>
    <row r="6" spans="2:21">
      <c r="B6" t="s">
        <v>64</v>
      </c>
      <c r="C6">
        <v>10</v>
      </c>
      <c r="D6">
        <v>4</v>
      </c>
      <c r="E6">
        <v>7</v>
      </c>
      <c r="F6">
        <v>6</v>
      </c>
      <c r="G6">
        <v>9</v>
      </c>
      <c r="H6">
        <v>10</v>
      </c>
      <c r="I6">
        <v>8</v>
      </c>
      <c r="J6">
        <v>9</v>
      </c>
      <c r="K6">
        <v>9</v>
      </c>
      <c r="L6">
        <v>8</v>
      </c>
      <c r="M6">
        <f>SUM(C6:L6)-D6</f>
        <v>76</v>
      </c>
      <c r="N6">
        <f>SUM(E6:L6,C6)/9*3</f>
        <v>25.333333333333336</v>
      </c>
      <c r="O6">
        <v>87</v>
      </c>
      <c r="P6">
        <f>O6*0.2</f>
        <v>17.400000000000002</v>
      </c>
      <c r="Q6">
        <v>156</v>
      </c>
      <c r="R6">
        <f>Q6/2*0.5</f>
        <v>39</v>
      </c>
      <c r="S6">
        <f>SUM(M6,O6,Q6)</f>
        <v>319</v>
      </c>
      <c r="T6">
        <f>SUM(R6,P6,N6)</f>
        <v>81.733333333333348</v>
      </c>
      <c r="U6" t="s">
        <v>27</v>
      </c>
    </row>
    <row r="7" spans="2:21">
      <c r="B7" t="s">
        <v>69</v>
      </c>
      <c r="C7">
        <v>4</v>
      </c>
      <c r="D7">
        <v>2</v>
      </c>
      <c r="E7">
        <v>7</v>
      </c>
      <c r="F7">
        <v>8</v>
      </c>
      <c r="G7">
        <v>9</v>
      </c>
      <c r="H7">
        <v>10</v>
      </c>
      <c r="I7">
        <v>8</v>
      </c>
      <c r="J7">
        <v>8</v>
      </c>
      <c r="K7">
        <v>9</v>
      </c>
      <c r="L7">
        <v>10</v>
      </c>
      <c r="M7">
        <f>SUM(C7:L7)-D7</f>
        <v>73</v>
      </c>
      <c r="N7">
        <f>SUM(E7:L7,C7)/9*3</f>
        <v>24.333333333333332</v>
      </c>
      <c r="O7">
        <v>95</v>
      </c>
      <c r="P7">
        <f>O7*0.2</f>
        <v>19</v>
      </c>
      <c r="Q7">
        <v>149</v>
      </c>
      <c r="R7">
        <f>Q7/2*0.5</f>
        <v>37.25</v>
      </c>
      <c r="S7">
        <f>SUM(M7,O7,Q7)</f>
        <v>317</v>
      </c>
      <c r="T7">
        <f>SUM(R7,P7,N7)</f>
        <v>80.583333333333329</v>
      </c>
      <c r="U7" t="s">
        <v>27</v>
      </c>
    </row>
    <row r="8" spans="2:21">
      <c r="B8" t="s">
        <v>70</v>
      </c>
      <c r="C8">
        <v>7</v>
      </c>
      <c r="D8">
        <v>6</v>
      </c>
      <c r="E8">
        <v>4</v>
      </c>
      <c r="F8">
        <v>7</v>
      </c>
      <c r="G8">
        <v>9</v>
      </c>
      <c r="H8">
        <v>10</v>
      </c>
      <c r="I8">
        <v>5</v>
      </c>
      <c r="J8">
        <v>4</v>
      </c>
      <c r="K8">
        <v>8</v>
      </c>
      <c r="L8">
        <v>10</v>
      </c>
      <c r="M8">
        <f>SUM(C8:L8)-J8</f>
        <v>66</v>
      </c>
      <c r="N8">
        <f>SUM(K8:L8,C8:I8)/9*3</f>
        <v>22</v>
      </c>
      <c r="O8">
        <v>50</v>
      </c>
      <c r="P8">
        <f>O8*0.2</f>
        <v>10</v>
      </c>
      <c r="Q8">
        <v>136</v>
      </c>
      <c r="R8">
        <f>Q8/2*0.5</f>
        <v>34</v>
      </c>
      <c r="S8">
        <f>SUM(M8,O8,Q8)</f>
        <v>252</v>
      </c>
      <c r="T8">
        <f>SUM(R8,P8,N8)</f>
        <v>66</v>
      </c>
      <c r="U8" t="s">
        <v>89</v>
      </c>
    </row>
    <row r="9" spans="2:21">
      <c r="B9" t="s">
        <v>59</v>
      </c>
      <c r="C9">
        <f t="shared" ref="C9:T9" si="0">AVERAGE(C4:C8)</f>
        <v>7.2</v>
      </c>
      <c r="D9">
        <f t="shared" si="0"/>
        <v>5.4</v>
      </c>
      <c r="E9">
        <f t="shared" si="0"/>
        <v>7.2</v>
      </c>
      <c r="F9">
        <f t="shared" si="0"/>
        <v>7</v>
      </c>
      <c r="G9">
        <f t="shared" si="0"/>
        <v>8</v>
      </c>
      <c r="H9">
        <f t="shared" si="0"/>
        <v>8.8000000000000007</v>
      </c>
      <c r="I9">
        <f t="shared" si="0"/>
        <v>7.6</v>
      </c>
      <c r="J9">
        <f t="shared" si="0"/>
        <v>6.8</v>
      </c>
      <c r="K9">
        <f t="shared" si="0"/>
        <v>9</v>
      </c>
      <c r="L9">
        <f t="shared" si="0"/>
        <v>8.4</v>
      </c>
      <c r="M9">
        <f t="shared" si="0"/>
        <v>71.8</v>
      </c>
      <c r="N9">
        <f t="shared" si="0"/>
        <v>23.933333333333334</v>
      </c>
      <c r="O9">
        <f t="shared" si="0"/>
        <v>75.8</v>
      </c>
      <c r="P9">
        <f t="shared" si="0"/>
        <v>15.160000000000002</v>
      </c>
      <c r="Q9">
        <f t="shared" si="0"/>
        <v>160.4</v>
      </c>
      <c r="R9">
        <f t="shared" si="0"/>
        <v>40.1</v>
      </c>
      <c r="S9">
        <f t="shared" si="0"/>
        <v>308</v>
      </c>
      <c r="T9">
        <f t="shared" si="0"/>
        <v>79.193333333333328</v>
      </c>
      <c r="U9" t="s">
        <v>29</v>
      </c>
    </row>
    <row r="10" spans="2:21">
      <c r="B10" t="s">
        <v>31</v>
      </c>
      <c r="C10">
        <f t="shared" ref="C10:T10" si="1">STDEV(C4:C8)</f>
        <v>2.1679483388678804</v>
      </c>
      <c r="D10">
        <f t="shared" si="1"/>
        <v>2.607680962081059</v>
      </c>
      <c r="E10">
        <f t="shared" si="1"/>
        <v>2.1679483388678804</v>
      </c>
      <c r="F10">
        <f t="shared" si="1"/>
        <v>0.70710678118654757</v>
      </c>
      <c r="G10">
        <f t="shared" si="1"/>
        <v>2.2360679774997898</v>
      </c>
      <c r="H10">
        <f t="shared" si="1"/>
        <v>1.7888543819998326</v>
      </c>
      <c r="I10">
        <f t="shared" si="1"/>
        <v>1.8165902124584943</v>
      </c>
      <c r="J10">
        <f t="shared" si="1"/>
        <v>2.5884358211089573</v>
      </c>
      <c r="K10">
        <f t="shared" si="1"/>
        <v>0.70710678118654757</v>
      </c>
      <c r="L10">
        <f t="shared" si="1"/>
        <v>1.6733200530681502</v>
      </c>
      <c r="M10">
        <f t="shared" si="1"/>
        <v>3.8987177379235622</v>
      </c>
      <c r="N10">
        <f t="shared" si="1"/>
        <v>1.2995725793077666</v>
      </c>
      <c r="O10">
        <f t="shared" si="1"/>
        <v>17.398275776639473</v>
      </c>
      <c r="P10">
        <f t="shared" si="1"/>
        <v>3.479655155327888</v>
      </c>
      <c r="Q10">
        <f t="shared" si="1"/>
        <v>19.730686759461751</v>
      </c>
      <c r="R10">
        <f t="shared" si="1"/>
        <v>4.9326716898654377</v>
      </c>
      <c r="S10">
        <f t="shared" si="1"/>
        <v>31.76476034853718</v>
      </c>
      <c r="T10">
        <f t="shared" si="1"/>
        <v>7.5530218382374033</v>
      </c>
    </row>
    <row r="11" spans="2:21">
      <c r="U11" t="s">
        <v>21</v>
      </c>
    </row>
    <row r="12" spans="2:21">
      <c r="U12" t="s">
        <v>22</v>
      </c>
    </row>
    <row r="13" spans="2:21">
      <c r="C13" s="3" t="s">
        <v>120</v>
      </c>
      <c r="U13" t="s">
        <v>23</v>
      </c>
    </row>
    <row r="14" spans="2:21">
      <c r="C14" s="3" t="s">
        <v>119</v>
      </c>
      <c r="M14" s="3">
        <v>-2</v>
      </c>
      <c r="U14" t="s">
        <v>24</v>
      </c>
    </row>
    <row r="15" spans="2:21">
      <c r="U15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U15"/>
  <sheetViews>
    <sheetView workbookViewId="0">
      <selection activeCell="C12" sqref="C12:M13"/>
    </sheetView>
  </sheetViews>
  <sheetFormatPr defaultRowHeight="15"/>
  <cols>
    <col min="13" max="13" width="24.28515625" customWidth="1"/>
    <col min="14" max="14" width="15.5703125" customWidth="1"/>
    <col min="16" max="16" width="14" customWidth="1"/>
  </cols>
  <sheetData>
    <row r="2" spans="2:21">
      <c r="M2" t="s">
        <v>90</v>
      </c>
      <c r="Q2" t="s">
        <v>82</v>
      </c>
      <c r="S2" t="s">
        <v>56</v>
      </c>
      <c r="T2" t="s">
        <v>77</v>
      </c>
    </row>
    <row r="3" spans="2:21">
      <c r="B3" t="s">
        <v>60</v>
      </c>
      <c r="C3" t="s">
        <v>73</v>
      </c>
      <c r="D3" t="s">
        <v>14</v>
      </c>
      <c r="E3" t="s">
        <v>15</v>
      </c>
      <c r="F3" t="s">
        <v>71</v>
      </c>
      <c r="G3" t="s">
        <v>72</v>
      </c>
      <c r="H3" t="s">
        <v>75</v>
      </c>
      <c r="I3" t="s">
        <v>84</v>
      </c>
      <c r="J3" t="s">
        <v>85</v>
      </c>
      <c r="K3" t="s">
        <v>86</v>
      </c>
      <c r="L3" t="s">
        <v>87</v>
      </c>
      <c r="M3" t="s">
        <v>95</v>
      </c>
      <c r="N3" t="s">
        <v>92</v>
      </c>
      <c r="O3" t="s">
        <v>74</v>
      </c>
      <c r="P3" t="s">
        <v>93</v>
      </c>
      <c r="Q3" t="s">
        <v>83</v>
      </c>
      <c r="R3" t="s">
        <v>81</v>
      </c>
      <c r="S3" t="s">
        <v>94</v>
      </c>
      <c r="T3" t="s">
        <v>57</v>
      </c>
      <c r="U3" t="s">
        <v>78</v>
      </c>
    </row>
    <row r="4" spans="2:21">
      <c r="B4" t="s">
        <v>67</v>
      </c>
      <c r="C4">
        <v>8</v>
      </c>
      <c r="D4">
        <v>9</v>
      </c>
      <c r="E4">
        <v>10</v>
      </c>
      <c r="F4">
        <v>7</v>
      </c>
      <c r="G4">
        <v>4</v>
      </c>
      <c r="H4">
        <v>6</v>
      </c>
      <c r="I4">
        <v>7</v>
      </c>
      <c r="J4">
        <v>9</v>
      </c>
      <c r="K4">
        <v>10</v>
      </c>
      <c r="L4">
        <v>8</v>
      </c>
      <c r="M4">
        <f>SUM(C4:L4)-G4-H4</f>
        <v>68</v>
      </c>
      <c r="N4">
        <f>SUM(I4:L4,C4:F4)/8*3</f>
        <v>25.5</v>
      </c>
      <c r="O4">
        <v>78</v>
      </c>
      <c r="P4">
        <f>O4*0.2</f>
        <v>15.600000000000001</v>
      </c>
      <c r="Q4">
        <v>179</v>
      </c>
      <c r="R4">
        <f>Q4/2*0.5</f>
        <v>44.75</v>
      </c>
      <c r="S4">
        <f>SUM(Q4,O4,M4)</f>
        <v>325</v>
      </c>
      <c r="T4">
        <f>SUM(R4,P4,N4)</f>
        <v>85.85</v>
      </c>
      <c r="U4" t="s">
        <v>27</v>
      </c>
    </row>
    <row r="5" spans="2:21">
      <c r="B5" t="s">
        <v>68</v>
      </c>
      <c r="C5">
        <v>7</v>
      </c>
      <c r="D5">
        <v>6</v>
      </c>
      <c r="E5">
        <v>8</v>
      </c>
      <c r="F5">
        <v>7</v>
      </c>
      <c r="G5">
        <v>9</v>
      </c>
      <c r="H5">
        <v>8</v>
      </c>
      <c r="I5">
        <v>10</v>
      </c>
      <c r="J5">
        <v>4</v>
      </c>
      <c r="K5">
        <v>9</v>
      </c>
      <c r="L5">
        <v>6</v>
      </c>
      <c r="M5">
        <f>SUM(C5:L5)-J5-L5</f>
        <v>64</v>
      </c>
      <c r="N5">
        <f>SUM(K5,C5:I5)/8*3</f>
        <v>24</v>
      </c>
      <c r="O5">
        <v>69</v>
      </c>
      <c r="P5">
        <f>O5*0.2</f>
        <v>13.8</v>
      </c>
      <c r="Q5">
        <v>182</v>
      </c>
      <c r="R5">
        <f>Q5/2*0.5</f>
        <v>45.5</v>
      </c>
      <c r="S5">
        <f>SUM(M5,O5,Q5)</f>
        <v>315</v>
      </c>
      <c r="T5">
        <f>SUM(R5,P5,N5)</f>
        <v>83.3</v>
      </c>
      <c r="U5" t="s">
        <v>27</v>
      </c>
    </row>
    <row r="6" spans="2:21">
      <c r="B6" t="s">
        <v>64</v>
      </c>
      <c r="C6">
        <v>10</v>
      </c>
      <c r="D6">
        <v>4</v>
      </c>
      <c r="E6">
        <v>7</v>
      </c>
      <c r="F6">
        <v>6</v>
      </c>
      <c r="G6">
        <v>9</v>
      </c>
      <c r="H6">
        <v>10</v>
      </c>
      <c r="I6">
        <v>8</v>
      </c>
      <c r="J6">
        <v>9</v>
      </c>
      <c r="K6">
        <v>9</v>
      </c>
      <c r="L6">
        <v>8</v>
      </c>
      <c r="M6">
        <f>SUM(C6:L6)-D6-F6</f>
        <v>70</v>
      </c>
      <c r="N6">
        <f>SUM(G6:L6,C6,E6)/8*3</f>
        <v>26.25</v>
      </c>
      <c r="O6">
        <v>87</v>
      </c>
      <c r="P6">
        <f>O6*0.2</f>
        <v>17.400000000000002</v>
      </c>
      <c r="Q6">
        <v>156</v>
      </c>
      <c r="R6">
        <f>Q6/2*0.5</f>
        <v>39</v>
      </c>
      <c r="S6">
        <f>SUM(M6,O6,Q6)</f>
        <v>313</v>
      </c>
      <c r="T6">
        <f>SUM(R6,P6,N6)</f>
        <v>82.65</v>
      </c>
      <c r="U6" t="s">
        <v>27</v>
      </c>
    </row>
    <row r="7" spans="2:21">
      <c r="B7" t="s">
        <v>69</v>
      </c>
      <c r="C7">
        <v>4</v>
      </c>
      <c r="D7">
        <v>2</v>
      </c>
      <c r="E7">
        <v>7</v>
      </c>
      <c r="F7">
        <v>8</v>
      </c>
      <c r="G7">
        <v>9</v>
      </c>
      <c r="H7">
        <v>10</v>
      </c>
      <c r="I7">
        <v>8</v>
      </c>
      <c r="J7">
        <v>8</v>
      </c>
      <c r="K7">
        <v>9</v>
      </c>
      <c r="L7">
        <v>10</v>
      </c>
      <c r="M7">
        <f>SUM(C7:L7)-D7-C7</f>
        <v>69</v>
      </c>
      <c r="N7">
        <f>SUM(E7:L7)/8*3</f>
        <v>25.875</v>
      </c>
      <c r="O7">
        <v>95</v>
      </c>
      <c r="P7">
        <f>O7*0.2</f>
        <v>19</v>
      </c>
      <c r="Q7">
        <v>149</v>
      </c>
      <c r="R7">
        <f>Q7/2*0.5</f>
        <v>37.25</v>
      </c>
      <c r="S7">
        <f>SUM(M7,O7,Q7)</f>
        <v>313</v>
      </c>
      <c r="T7">
        <f>SUM(R7,P7,N7)</f>
        <v>82.125</v>
      </c>
      <c r="U7" t="s">
        <v>27</v>
      </c>
    </row>
    <row r="8" spans="2:21">
      <c r="B8" t="s">
        <v>70</v>
      </c>
      <c r="C8">
        <v>7</v>
      </c>
      <c r="D8">
        <v>6</v>
      </c>
      <c r="E8">
        <v>4</v>
      </c>
      <c r="F8">
        <v>7</v>
      </c>
      <c r="G8">
        <v>9</v>
      </c>
      <c r="H8">
        <v>10</v>
      </c>
      <c r="I8">
        <v>5</v>
      </c>
      <c r="J8">
        <v>4</v>
      </c>
      <c r="K8">
        <v>8</v>
      </c>
      <c r="L8">
        <v>10</v>
      </c>
      <c r="M8">
        <f>SUM(C8:L8)-J8-E8</f>
        <v>62</v>
      </c>
      <c r="N8">
        <f>SUM(K8:L8,D8,C8,F8:I8)/8*3</f>
        <v>23.25</v>
      </c>
      <c r="O8">
        <v>50</v>
      </c>
      <c r="P8">
        <f>O8*0.2</f>
        <v>10</v>
      </c>
      <c r="Q8">
        <v>136</v>
      </c>
      <c r="R8">
        <f>Q8/2*0.5</f>
        <v>34</v>
      </c>
      <c r="S8">
        <f>SUM(M8,O8,Q8)</f>
        <v>248</v>
      </c>
      <c r="T8">
        <f>SUM(R8,P8,N8)</f>
        <v>67.25</v>
      </c>
      <c r="U8" t="s">
        <v>89</v>
      </c>
    </row>
    <row r="9" spans="2:21">
      <c r="B9" t="s">
        <v>59</v>
      </c>
      <c r="C9">
        <f t="shared" ref="C9:T9" si="0">AVERAGE(C4:C8)</f>
        <v>7.2</v>
      </c>
      <c r="D9">
        <f t="shared" si="0"/>
        <v>5.4</v>
      </c>
      <c r="E9">
        <f t="shared" si="0"/>
        <v>7.2</v>
      </c>
      <c r="F9">
        <f t="shared" si="0"/>
        <v>7</v>
      </c>
      <c r="G9">
        <f t="shared" si="0"/>
        <v>8</v>
      </c>
      <c r="H9">
        <f t="shared" si="0"/>
        <v>8.8000000000000007</v>
      </c>
      <c r="I9">
        <f t="shared" si="0"/>
        <v>7.6</v>
      </c>
      <c r="J9">
        <f t="shared" si="0"/>
        <v>6.8</v>
      </c>
      <c r="K9">
        <f t="shared" si="0"/>
        <v>9</v>
      </c>
      <c r="L9">
        <f t="shared" si="0"/>
        <v>8.4</v>
      </c>
      <c r="M9">
        <f t="shared" si="0"/>
        <v>66.599999999999994</v>
      </c>
      <c r="N9">
        <f t="shared" si="0"/>
        <v>24.975000000000001</v>
      </c>
      <c r="O9">
        <f t="shared" si="0"/>
        <v>75.8</v>
      </c>
      <c r="P9">
        <f t="shared" si="0"/>
        <v>15.160000000000002</v>
      </c>
      <c r="Q9">
        <f t="shared" si="0"/>
        <v>160.4</v>
      </c>
      <c r="R9">
        <f t="shared" si="0"/>
        <v>40.1</v>
      </c>
      <c r="S9">
        <f t="shared" si="0"/>
        <v>302.8</v>
      </c>
      <c r="T9">
        <f t="shared" si="0"/>
        <v>80.234999999999985</v>
      </c>
      <c r="U9" t="s">
        <v>27</v>
      </c>
    </row>
    <row r="10" spans="2:21">
      <c r="B10" t="s">
        <v>31</v>
      </c>
      <c r="C10">
        <f t="shared" ref="C10:T10" si="1">STDEV(C4:C8)</f>
        <v>2.1679483388678804</v>
      </c>
      <c r="D10">
        <f t="shared" si="1"/>
        <v>2.607680962081059</v>
      </c>
      <c r="E10">
        <f t="shared" si="1"/>
        <v>2.1679483388678804</v>
      </c>
      <c r="F10">
        <f t="shared" si="1"/>
        <v>0.70710678118654757</v>
      </c>
      <c r="G10">
        <f t="shared" si="1"/>
        <v>2.2360679774997898</v>
      </c>
      <c r="H10">
        <f t="shared" si="1"/>
        <v>1.7888543819998326</v>
      </c>
      <c r="I10">
        <f t="shared" si="1"/>
        <v>1.8165902124584943</v>
      </c>
      <c r="J10">
        <f t="shared" si="1"/>
        <v>2.5884358211089573</v>
      </c>
      <c r="K10">
        <f t="shared" si="1"/>
        <v>0.70710678118654757</v>
      </c>
      <c r="L10">
        <f t="shared" si="1"/>
        <v>1.6733200530681502</v>
      </c>
      <c r="M10">
        <f t="shared" si="1"/>
        <v>3.4351128074635602</v>
      </c>
      <c r="N10">
        <f t="shared" si="1"/>
        <v>1.2881673027988074</v>
      </c>
      <c r="O10">
        <f t="shared" si="1"/>
        <v>17.398275776639473</v>
      </c>
      <c r="P10">
        <f t="shared" si="1"/>
        <v>3.479655155327888</v>
      </c>
      <c r="Q10">
        <f t="shared" si="1"/>
        <v>19.730686759461751</v>
      </c>
      <c r="R10">
        <f t="shared" si="1"/>
        <v>4.9326716898654377</v>
      </c>
      <c r="S10">
        <f t="shared" si="1"/>
        <v>31.03546358603327</v>
      </c>
      <c r="T10">
        <f t="shared" si="1"/>
        <v>7.3982599305513892</v>
      </c>
    </row>
    <row r="11" spans="2:21">
      <c r="U11" t="s">
        <v>21</v>
      </c>
    </row>
    <row r="12" spans="2:21">
      <c r="C12" s="3" t="s">
        <v>118</v>
      </c>
    </row>
    <row r="13" spans="2:21">
      <c r="C13" s="3" t="s">
        <v>119</v>
      </c>
      <c r="M13" s="3">
        <v>-2</v>
      </c>
    </row>
    <row r="14" spans="2:21">
      <c r="U14" t="s">
        <v>24</v>
      </c>
    </row>
    <row r="15" spans="2:21">
      <c r="U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N17"/>
  <sheetViews>
    <sheetView tabSelected="1" topLeftCell="G1" workbookViewId="0">
      <selection activeCell="L16" sqref="L16"/>
    </sheetView>
  </sheetViews>
  <sheetFormatPr defaultRowHeight="15"/>
  <cols>
    <col min="3" max="3" width="13.5703125" customWidth="1"/>
    <col min="6" max="6" width="23.85546875" customWidth="1"/>
    <col min="7" max="7" width="26.7109375" customWidth="1"/>
    <col min="8" max="8" width="7" customWidth="1"/>
    <col min="9" max="10" width="18.42578125" customWidth="1"/>
    <col min="11" max="11" width="12.140625" customWidth="1"/>
    <col min="12" max="12" width="20" customWidth="1"/>
    <col min="13" max="13" width="16.140625" customWidth="1"/>
    <col min="14" max="14" width="11.42578125" customWidth="1"/>
  </cols>
  <sheetData>
    <row r="1" spans="2:14">
      <c r="F1" t="s">
        <v>113</v>
      </c>
      <c r="G1" t="s">
        <v>114</v>
      </c>
      <c r="I1" t="s">
        <v>113</v>
      </c>
      <c r="J1" t="s">
        <v>114</v>
      </c>
      <c r="K1" t="s">
        <v>109</v>
      </c>
    </row>
    <row r="2" spans="2:14">
      <c r="B2" t="s">
        <v>60</v>
      </c>
      <c r="C2" t="s">
        <v>102</v>
      </c>
      <c r="D2" t="s">
        <v>103</v>
      </c>
      <c r="E2" t="s">
        <v>104</v>
      </c>
      <c r="F2" t="s">
        <v>108</v>
      </c>
      <c r="G2" t="s">
        <v>107</v>
      </c>
      <c r="H2" t="s">
        <v>105</v>
      </c>
      <c r="I2" t="s">
        <v>106</v>
      </c>
      <c r="J2" t="s">
        <v>115</v>
      </c>
      <c r="K2" t="s">
        <v>116</v>
      </c>
      <c r="L2" t="s">
        <v>110</v>
      </c>
      <c r="M2" t="s">
        <v>111</v>
      </c>
      <c r="N2" t="s">
        <v>112</v>
      </c>
    </row>
    <row r="3" spans="2:14">
      <c r="B3" t="s">
        <v>96</v>
      </c>
      <c r="C3">
        <v>98</v>
      </c>
      <c r="D3">
        <v>92</v>
      </c>
      <c r="E3">
        <v>90</v>
      </c>
      <c r="F3">
        <f>SUM(C3:E3)/3*(2/3)</f>
        <v>62.222222222222214</v>
      </c>
      <c r="G3">
        <f>SUM(C3:E3)/3*0.5</f>
        <v>46.666666666666664</v>
      </c>
      <c r="H3">
        <v>87</v>
      </c>
      <c r="I3">
        <f>SUM(H3)*(1/3)</f>
        <v>29</v>
      </c>
      <c r="J3">
        <f>SUM(H3)*0.5</f>
        <v>43.5</v>
      </c>
      <c r="K3">
        <f>SUM(C3:E3,H3)</f>
        <v>367</v>
      </c>
      <c r="L3" s="2">
        <f>SUM(I3,F3)</f>
        <v>91.222222222222214</v>
      </c>
      <c r="M3">
        <f>SUM(G3,J3)</f>
        <v>90.166666666666657</v>
      </c>
      <c r="N3" t="s">
        <v>28</v>
      </c>
    </row>
    <row r="4" spans="2:14">
      <c r="B4" t="s">
        <v>97</v>
      </c>
      <c r="C4">
        <v>65</v>
      </c>
      <c r="D4">
        <v>72</v>
      </c>
      <c r="E4">
        <v>78</v>
      </c>
      <c r="F4">
        <f>SUM(C4:E4)/3*(2/3)</f>
        <v>47.777777777777779</v>
      </c>
      <c r="G4">
        <f>SUM(C4:E4)/3*0.5</f>
        <v>35.833333333333336</v>
      </c>
      <c r="H4">
        <v>68</v>
      </c>
      <c r="I4">
        <f>SUM(H4)*(1/3)</f>
        <v>22.666666666666664</v>
      </c>
      <c r="J4">
        <f>SUM(H4)*0.5</f>
        <v>34</v>
      </c>
      <c r="K4">
        <f>SUM(H4,C4,D4,E4)</f>
        <v>283</v>
      </c>
      <c r="L4" s="2">
        <f>SUM(F4,I4)</f>
        <v>70.444444444444443</v>
      </c>
      <c r="M4">
        <f>SUM(J4,G4)</f>
        <v>69.833333333333343</v>
      </c>
      <c r="N4" t="s">
        <v>29</v>
      </c>
    </row>
    <row r="5" spans="2:14">
      <c r="B5" t="s">
        <v>98</v>
      </c>
      <c r="C5">
        <v>87</v>
      </c>
      <c r="D5">
        <v>87</v>
      </c>
      <c r="E5">
        <v>68</v>
      </c>
      <c r="F5">
        <f>SUM(C5:E5)/3*(2/3)</f>
        <v>53.777777777777779</v>
      </c>
      <c r="G5">
        <f>SUM(C5:E5)/3*0.5</f>
        <v>40.333333333333336</v>
      </c>
      <c r="H5">
        <v>85</v>
      </c>
      <c r="I5">
        <f>SUM(H5)*(1/3)</f>
        <v>28.333333333333332</v>
      </c>
      <c r="J5">
        <f>SUM(H5)*0.5</f>
        <v>42.5</v>
      </c>
      <c r="K5">
        <f>SUM(H5,C5:E5)</f>
        <v>327</v>
      </c>
      <c r="L5">
        <f>SUM(I5,F5)</f>
        <v>82.111111111111114</v>
      </c>
      <c r="M5" s="2">
        <f>SUM(J5,G5)</f>
        <v>82.833333333333343</v>
      </c>
      <c r="N5" t="s">
        <v>27</v>
      </c>
    </row>
    <row r="6" spans="2:14">
      <c r="B6" t="s">
        <v>99</v>
      </c>
      <c r="C6">
        <v>74</v>
      </c>
      <c r="D6">
        <v>90</v>
      </c>
      <c r="E6">
        <v>79</v>
      </c>
      <c r="F6">
        <f>SUM(C6:E6)/3*(2/3)</f>
        <v>54</v>
      </c>
      <c r="G6">
        <f>SUM(C6:E6)/3*0.5</f>
        <v>40.5</v>
      </c>
      <c r="H6">
        <v>67</v>
      </c>
      <c r="I6">
        <f>SUM(H6)*1/3</f>
        <v>22.333333333333332</v>
      </c>
      <c r="J6">
        <f>SUM(H6)*0.5</f>
        <v>33.5</v>
      </c>
      <c r="K6">
        <f>SUM(H6,E6,D6,C6)</f>
        <v>310</v>
      </c>
      <c r="L6" s="2">
        <f>SUM(I6,F6)</f>
        <v>76.333333333333329</v>
      </c>
      <c r="M6">
        <f>SUM(G6,J6)</f>
        <v>74</v>
      </c>
      <c r="N6" t="s">
        <v>29</v>
      </c>
    </row>
    <row r="7" spans="2:14">
      <c r="B7" t="s">
        <v>100</v>
      </c>
      <c r="C7">
        <v>93</v>
      </c>
      <c r="D7">
        <v>87</v>
      </c>
      <c r="E7">
        <v>54</v>
      </c>
      <c r="F7">
        <f>SUM(C7:E7)/3*(2/3)</f>
        <v>52</v>
      </c>
      <c r="G7">
        <f>SUM(C7:E7)/3*0.5</f>
        <v>39</v>
      </c>
      <c r="H7">
        <v>95</v>
      </c>
      <c r="I7">
        <f>SUM(H7)*(1/3)</f>
        <v>31.666666666666664</v>
      </c>
      <c r="J7">
        <f>SUM(H7)*0.5</f>
        <v>47.5</v>
      </c>
      <c r="K7">
        <f>SUM(C7,E7,D7,H7)</f>
        <v>329</v>
      </c>
      <c r="L7">
        <f>SUM(I7,F7)</f>
        <v>83.666666666666657</v>
      </c>
      <c r="M7" s="2">
        <f>SUM(J7,G7)</f>
        <v>86.5</v>
      </c>
      <c r="N7" t="s">
        <v>27</v>
      </c>
    </row>
    <row r="8" spans="2:14">
      <c r="B8" t="s">
        <v>101</v>
      </c>
      <c r="C8">
        <f t="shared" ref="C8:M8" si="0">AVERAGE(C3:C7)</f>
        <v>83.4</v>
      </c>
      <c r="D8">
        <f t="shared" si="0"/>
        <v>85.6</v>
      </c>
      <c r="E8">
        <f t="shared" si="0"/>
        <v>73.8</v>
      </c>
      <c r="F8">
        <f t="shared" si="0"/>
        <v>53.955555555555556</v>
      </c>
      <c r="G8">
        <f t="shared" si="0"/>
        <v>40.466666666666669</v>
      </c>
      <c r="H8">
        <f t="shared" si="0"/>
        <v>80.400000000000006</v>
      </c>
      <c r="I8">
        <f t="shared" si="0"/>
        <v>26.8</v>
      </c>
      <c r="J8">
        <f t="shared" si="0"/>
        <v>40.200000000000003</v>
      </c>
      <c r="K8">
        <f t="shared" si="0"/>
        <v>323.2</v>
      </c>
      <c r="L8">
        <f t="shared" si="0"/>
        <v>80.755555555555546</v>
      </c>
      <c r="M8">
        <f t="shared" si="0"/>
        <v>80.666666666666671</v>
      </c>
      <c r="N8" t="s">
        <v>27</v>
      </c>
    </row>
    <row r="9" spans="2:14">
      <c r="B9" t="s">
        <v>31</v>
      </c>
      <c r="C9">
        <f t="shared" ref="C9:J9" si="1">STDEV(C3:C7)</f>
        <v>13.649175799292765</v>
      </c>
      <c r="D9">
        <f t="shared" si="1"/>
        <v>7.8930349042683998</v>
      </c>
      <c r="E9">
        <f t="shared" si="1"/>
        <v>13.535139452550897</v>
      </c>
      <c r="F9">
        <f t="shared" si="1"/>
        <v>5.2526301465828027</v>
      </c>
      <c r="G9">
        <f t="shared" si="1"/>
        <v>3.93947260993707</v>
      </c>
      <c r="H9">
        <f t="shared" si="1"/>
        <v>12.361229712289962</v>
      </c>
      <c r="I9">
        <f t="shared" si="1"/>
        <v>4.1204099040966629</v>
      </c>
      <c r="J9">
        <f t="shared" si="1"/>
        <v>6.180614856144981</v>
      </c>
      <c r="K9">
        <f>STDEV(K3,K4,K5,K6,K7)</f>
        <v>30.646370095004677</v>
      </c>
      <c r="L9">
        <f>STDEV(L3,L4,L5,L6,L7)</f>
        <v>7.838020662210373</v>
      </c>
      <c r="M9">
        <f>STDEV(M3,M5,M4,M6,M7)</f>
        <v>8.5261037082857154</v>
      </c>
    </row>
    <row r="10" spans="2:14">
      <c r="N10" t="s">
        <v>21</v>
      </c>
    </row>
    <row r="11" spans="2:14">
      <c r="B11" s="2" t="s">
        <v>117</v>
      </c>
      <c r="C11" s="2"/>
      <c r="D11" s="2"/>
      <c r="E11" s="2"/>
      <c r="N11" t="s">
        <v>22</v>
      </c>
    </row>
    <row r="12" spans="2:14">
      <c r="N12" t="s">
        <v>23</v>
      </c>
    </row>
    <row r="13" spans="2:14">
      <c r="N13" t="s">
        <v>24</v>
      </c>
    </row>
    <row r="14" spans="2:14">
      <c r="N14" t="s">
        <v>25</v>
      </c>
    </row>
    <row r="16" spans="2:14">
      <c r="L16" s="3" t="s">
        <v>121</v>
      </c>
      <c r="M16" s="3"/>
      <c r="N16" s="3"/>
    </row>
    <row r="17" spans="12:14">
      <c r="L17" s="3" t="s">
        <v>122</v>
      </c>
      <c r="M17" s="3"/>
      <c r="N17" s="3">
        <v>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SENARIO 1</vt:lpstr>
      <vt:lpstr>SENARIO 2</vt:lpstr>
      <vt:lpstr>SENARIO 3</vt:lpstr>
      <vt:lpstr>SENARIO 4</vt:lpstr>
      <vt:lpstr>SENARIO 5</vt:lpstr>
      <vt:lpstr>SENARIO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2011-10-06T19:10:43Z</dcterms:created>
  <dcterms:modified xsi:type="dcterms:W3CDTF">2011-10-28T20:50:00Z</dcterms:modified>
</cp:coreProperties>
</file>