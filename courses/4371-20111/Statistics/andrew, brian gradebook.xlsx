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720" yWindow="360" windowWidth="17955" windowHeight="11535"/>
  </bookViews>
  <sheets>
    <sheet name="Scenario 1" sheetId="1" r:id="rId1"/>
    <sheet name="Scenario 2" sheetId="8" r:id="rId2"/>
    <sheet name="Scenario 3" sheetId="9" r:id="rId3"/>
    <sheet name="Scenario 4" sheetId="10" r:id="rId4"/>
    <sheet name="Scenario 5" sheetId="11" r:id="rId5"/>
    <sheet name="Scenario 6" sheetId="12" r:id="rId6"/>
    <sheet name="Letter Grade Array" sheetId="7" r:id="rId7"/>
  </sheets>
  <calcPr calcId="125725"/>
</workbook>
</file>

<file path=xl/calcChain.xml><?xml version="1.0" encoding="utf-8"?>
<calcChain xmlns="http://schemas.openxmlformats.org/spreadsheetml/2006/main">
  <c r="H9" i="12"/>
  <c r="C10"/>
  <c r="D10"/>
  <c r="E10"/>
  <c r="F10"/>
  <c r="G10"/>
  <c r="C9"/>
  <c r="D9"/>
  <c r="E9"/>
  <c r="F9"/>
  <c r="G9"/>
  <c r="B10"/>
  <c r="B9"/>
  <c r="H3"/>
  <c r="H5"/>
  <c r="H6"/>
  <c r="H7"/>
  <c r="H2"/>
  <c r="G3"/>
  <c r="G4"/>
  <c r="H4" s="1"/>
  <c r="G5"/>
  <c r="G6"/>
  <c r="G7"/>
  <c r="G2"/>
  <c r="F3"/>
  <c r="F4"/>
  <c r="F5"/>
  <c r="F6"/>
  <c r="F7"/>
  <c r="F2"/>
  <c r="Q9" i="11" l="1"/>
  <c r="Q3"/>
  <c r="Q4"/>
  <c r="Q5"/>
  <c r="Q6"/>
  <c r="Q7"/>
  <c r="Q2"/>
  <c r="C10"/>
  <c r="D10"/>
  <c r="E10"/>
  <c r="F10"/>
  <c r="G10"/>
  <c r="H10"/>
  <c r="I10"/>
  <c r="J10"/>
  <c r="K10"/>
  <c r="L10"/>
  <c r="M10"/>
  <c r="N10"/>
  <c r="O10"/>
  <c r="P10"/>
  <c r="C9"/>
  <c r="D9"/>
  <c r="E9"/>
  <c r="F9"/>
  <c r="G9"/>
  <c r="H9"/>
  <c r="I9"/>
  <c r="J9"/>
  <c r="K9"/>
  <c r="L9"/>
  <c r="M9"/>
  <c r="N9"/>
  <c r="O9"/>
  <c r="P9"/>
  <c r="B10"/>
  <c r="B9"/>
  <c r="P3"/>
  <c r="P4"/>
  <c r="P5"/>
  <c r="P6"/>
  <c r="P7"/>
  <c r="P2"/>
  <c r="O3"/>
  <c r="O4"/>
  <c r="O5"/>
  <c r="O6"/>
  <c r="O7"/>
  <c r="O2"/>
  <c r="L3"/>
  <c r="L4"/>
  <c r="L5"/>
  <c r="L6"/>
  <c r="L7"/>
  <c r="L2"/>
  <c r="Q7" i="10" l="1"/>
  <c r="Q9"/>
  <c r="Q2"/>
  <c r="Q3"/>
  <c r="Q4"/>
  <c r="Q5"/>
  <c r="Q6"/>
  <c r="C10"/>
  <c r="D10"/>
  <c r="E10"/>
  <c r="F10"/>
  <c r="G10"/>
  <c r="H10"/>
  <c r="I10"/>
  <c r="J10"/>
  <c r="K10"/>
  <c r="L10"/>
  <c r="M10"/>
  <c r="N10"/>
  <c r="O10"/>
  <c r="P10"/>
  <c r="C9"/>
  <c r="D9"/>
  <c r="E9"/>
  <c r="F9"/>
  <c r="G9"/>
  <c r="H9"/>
  <c r="I9"/>
  <c r="J9"/>
  <c r="K9"/>
  <c r="L9"/>
  <c r="M9"/>
  <c r="N9"/>
  <c r="O9"/>
  <c r="P9"/>
  <c r="B10"/>
  <c r="B9"/>
  <c r="P3"/>
  <c r="P4"/>
  <c r="P5"/>
  <c r="P6"/>
  <c r="P7"/>
  <c r="P2"/>
  <c r="O3"/>
  <c r="O4"/>
  <c r="O5"/>
  <c r="O6"/>
  <c r="O7"/>
  <c r="O2"/>
  <c r="L3"/>
  <c r="L4"/>
  <c r="L5"/>
  <c r="L6"/>
  <c r="L7"/>
  <c r="L2"/>
  <c r="G2" i="9" l="1"/>
  <c r="G3"/>
  <c r="G9"/>
  <c r="G4"/>
  <c r="G5"/>
  <c r="G6"/>
  <c r="G7"/>
  <c r="C10"/>
  <c r="D10"/>
  <c r="E10"/>
  <c r="F10"/>
  <c r="C9"/>
  <c r="D9"/>
  <c r="E9"/>
  <c r="F9"/>
  <c r="B10"/>
  <c r="B9"/>
  <c r="F3"/>
  <c r="F4"/>
  <c r="F5"/>
  <c r="F6"/>
  <c r="F7"/>
  <c r="F2"/>
  <c r="E3"/>
  <c r="E4"/>
  <c r="E5"/>
  <c r="E6"/>
  <c r="E7"/>
  <c r="E2"/>
  <c r="I3" i="8" l="1"/>
  <c r="I4"/>
  <c r="I5"/>
  <c r="I6"/>
  <c r="C9"/>
  <c r="D9"/>
  <c r="E9"/>
  <c r="F9"/>
  <c r="C10"/>
  <c r="D10"/>
  <c r="E10"/>
  <c r="F10"/>
  <c r="G3"/>
  <c r="H3"/>
  <c r="G4"/>
  <c r="H4"/>
  <c r="G5"/>
  <c r="H5"/>
  <c r="G6"/>
  <c r="H6"/>
  <c r="G7"/>
  <c r="G9" s="1"/>
  <c r="H7"/>
  <c r="H2"/>
  <c r="I2" s="1"/>
  <c r="G2"/>
  <c r="B10"/>
  <c r="B9"/>
  <c r="H9" l="1"/>
  <c r="I9" s="1"/>
  <c r="H10"/>
  <c r="G10"/>
  <c r="I7"/>
  <c r="C10" i="1"/>
  <c r="D10"/>
  <c r="E10"/>
  <c r="F10"/>
  <c r="G10"/>
  <c r="H10"/>
  <c r="I10"/>
  <c r="J10"/>
  <c r="K10"/>
  <c r="L10"/>
  <c r="M10"/>
  <c r="N10"/>
  <c r="O10"/>
  <c r="C9"/>
  <c r="D9"/>
  <c r="E9"/>
  <c r="F9"/>
  <c r="G9"/>
  <c r="H9"/>
  <c r="I9"/>
  <c r="J9"/>
  <c r="K9"/>
  <c r="L9"/>
  <c r="M9"/>
  <c r="N9"/>
  <c r="O9"/>
  <c r="B10"/>
  <c r="B9"/>
  <c r="P3" l="1"/>
  <c r="Q3" s="1"/>
  <c r="R3" s="1"/>
  <c r="P4"/>
  <c r="P5"/>
  <c r="Q5" s="1"/>
  <c r="R5" s="1"/>
  <c r="P6"/>
  <c r="Q6" s="1"/>
  <c r="R6" s="1"/>
  <c r="P7"/>
  <c r="Q7" s="1"/>
  <c r="R7" s="1"/>
  <c r="P2"/>
  <c r="Q2" s="1"/>
  <c r="R2" s="1"/>
  <c r="P9" l="1"/>
  <c r="P10"/>
  <c r="Q4"/>
  <c r="R4" s="1"/>
  <c r="Q10" l="1"/>
  <c r="Q9"/>
  <c r="R9" s="1"/>
</calcChain>
</file>

<file path=xl/sharedStrings.xml><?xml version="1.0" encoding="utf-8"?>
<sst xmlns="http://schemas.openxmlformats.org/spreadsheetml/2006/main" count="228" uniqueCount="54">
  <si>
    <t>Student</t>
  </si>
  <si>
    <t>Lab1</t>
  </si>
  <si>
    <t>Lab2</t>
  </si>
  <si>
    <t>Lab3</t>
  </si>
  <si>
    <t>Lab4</t>
  </si>
  <si>
    <t>Lab5</t>
  </si>
  <si>
    <t>Lab6</t>
  </si>
  <si>
    <t>Lab7</t>
  </si>
  <si>
    <t>Lab8</t>
  </si>
  <si>
    <t>Lab9</t>
  </si>
  <si>
    <t>Historical Project</t>
  </si>
  <si>
    <t>Final Project</t>
  </si>
  <si>
    <t>Mid-Term Exam</t>
  </si>
  <si>
    <t>Final Exam</t>
  </si>
  <si>
    <t>Point Total</t>
  </si>
  <si>
    <t>Course Average</t>
  </si>
  <si>
    <t>Letter Grade</t>
  </si>
  <si>
    <t>Statistics Project</t>
  </si>
  <si>
    <t>Class Mean</t>
  </si>
  <si>
    <t>Standard Dev.</t>
  </si>
  <si>
    <t>Daniel A.</t>
  </si>
  <si>
    <t xml:space="preserve">John B. </t>
  </si>
  <si>
    <t xml:space="preserve">Samuel C. </t>
  </si>
  <si>
    <t>Mary D.</t>
  </si>
  <si>
    <t xml:space="preserve">Margaret E. </t>
  </si>
  <si>
    <t xml:space="preserve">Ashley F. </t>
  </si>
  <si>
    <t>Grade</t>
  </si>
  <si>
    <t>Letter</t>
  </si>
  <si>
    <t>A</t>
  </si>
  <si>
    <t>B</t>
  </si>
  <si>
    <t>C</t>
  </si>
  <si>
    <t>D</t>
  </si>
  <si>
    <t>F</t>
  </si>
  <si>
    <t>Test 1</t>
  </si>
  <si>
    <t>Test 2</t>
  </si>
  <si>
    <t>Test 3</t>
  </si>
  <si>
    <t>Homework</t>
  </si>
  <si>
    <t>Final</t>
  </si>
  <si>
    <t>Midterm</t>
  </si>
  <si>
    <t>HW 1</t>
  </si>
  <si>
    <t>HW 2</t>
  </si>
  <si>
    <t>HW 3</t>
  </si>
  <si>
    <t>HW 4</t>
  </si>
  <si>
    <t>HW 5</t>
  </si>
  <si>
    <t>HW 6</t>
  </si>
  <si>
    <t>HW 7</t>
  </si>
  <si>
    <t>HW 8</t>
  </si>
  <si>
    <t>HW 9</t>
  </si>
  <si>
    <t>HW 10</t>
  </si>
  <si>
    <t>HW Average</t>
  </si>
  <si>
    <t>Exam 1</t>
  </si>
  <si>
    <t>Exam 2</t>
  </si>
  <si>
    <t>Exam 3</t>
  </si>
  <si>
    <t>54/54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</si>
</sst>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R10">
  <autoFilter ref="A1:R10"/>
  <tableColumns count="18">
    <tableColumn id="1" name="Student" totalsRowLabel="Total"/>
    <tableColumn id="2" name="Lab1"/>
    <tableColumn id="3" name="Lab2"/>
    <tableColumn id="4" name="Lab3"/>
    <tableColumn id="5" name="Lab4"/>
    <tableColumn id="6" name="Lab5"/>
    <tableColumn id="7" name="Lab6"/>
    <tableColumn id="8" name="Lab7"/>
    <tableColumn id="9" name="Lab8"/>
    <tableColumn id="10" name="Lab9"/>
    <tableColumn id="11" name="Historical Project"/>
    <tableColumn id="12" name="Statistics Project"/>
    <tableColumn id="13" name="Final Project"/>
    <tableColumn id="14" name="Mid-Term Exam"/>
    <tableColumn id="15" name="Final Exam"/>
    <tableColumn id="16" name="Point Total"/>
    <tableColumn id="17" name="Course Average" dataDxfId="4"/>
    <tableColumn id="18" name="Letter Grade" totalsRowFunction="count"/>
  </tableColumns>
  <tableStyleInfo name="TableStyleMedium15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I10" totalsRowShown="0">
  <autoFilter ref="A1:I10"/>
  <tableColumns count="9">
    <tableColumn id="1" name="Student"/>
    <tableColumn id="2" name="Test 1"/>
    <tableColumn id="3" name="Test 2"/>
    <tableColumn id="4" name="Test 3"/>
    <tableColumn id="5" name="Homework"/>
    <tableColumn id="6" name="Final"/>
    <tableColumn id="7" name="Point Total"/>
    <tableColumn id="8" name="Course Average"/>
    <tableColumn id="9" name="Letter Grade"/>
  </tableColumns>
  <tableStyleInfo name="TableStyleMedium15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G10" totalsRowShown="0">
  <autoFilter ref="A1:G10"/>
  <tableColumns count="7">
    <tableColumn id="1" name="Student"/>
    <tableColumn id="2" name="Homework"/>
    <tableColumn id="3" name="Midterm"/>
    <tableColumn id="4" name="Final"/>
    <tableColumn id="5" name="Point Total"/>
    <tableColumn id="6" name="Course Average"/>
    <tableColumn id="7" name="Letter Grade"/>
  </tableColumns>
  <tableStyleInfo name="TableStyleMedium15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Q10" totalsRowShown="0">
  <autoFilter ref="A1:Q10"/>
  <tableColumns count="17">
    <tableColumn id="1" name="Student"/>
    <tableColumn id="2" name="HW 1"/>
    <tableColumn id="3" name="HW 2"/>
    <tableColumn id="4" name="HW 3"/>
    <tableColumn id="5" name="HW 4"/>
    <tableColumn id="6" name="HW 5"/>
    <tableColumn id="7" name="HW 6"/>
    <tableColumn id="8" name="HW 7"/>
    <tableColumn id="9" name="HW 8"/>
    <tableColumn id="10" name="HW 9"/>
    <tableColumn id="11" name="HW 10"/>
    <tableColumn id="12" name="HW Average"/>
    <tableColumn id="13" name="Midterm"/>
    <tableColumn id="14" name="Final"/>
    <tableColumn id="15" name="Point Total"/>
    <tableColumn id="16" name="Course Average"/>
    <tableColumn id="17" name="Letter Grade"/>
  </tableColumns>
  <tableStyleInfo name="TableStyleMedium15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Q10" totalsRowShown="0">
  <autoFilter ref="A1:Q10"/>
  <tableColumns count="17">
    <tableColumn id="1" name="Student"/>
    <tableColumn id="2" name="HW 1"/>
    <tableColumn id="3" name="HW 2"/>
    <tableColumn id="4" name="HW 3"/>
    <tableColumn id="5" name="HW 4"/>
    <tableColumn id="6" name="HW 5"/>
    <tableColumn id="7" name="HW 6"/>
    <tableColumn id="8" name="HW 7"/>
    <tableColumn id="9" name="HW 8"/>
    <tableColumn id="10" name="HW 9"/>
    <tableColumn id="11" name="HW 10"/>
    <tableColumn id="12" name="HW Average" dataDxfId="3"/>
    <tableColumn id="13" name="Midterm"/>
    <tableColumn id="14" name="Final"/>
    <tableColumn id="15" name="Point Total" dataDxfId="2"/>
    <tableColumn id="16" name="Course Average" dataDxfId="1"/>
    <tableColumn id="17" name="Letter Grade"/>
  </tableColumns>
  <tableStyleInfo name="TableStyleMedium15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H10" totalsRowShown="0">
  <autoFilter ref="A1:H10"/>
  <tableColumns count="8">
    <tableColumn id="1" name="Student"/>
    <tableColumn id="2" name="Exam 1"/>
    <tableColumn id="3" name="Exam 2"/>
    <tableColumn id="4" name="Exam 3"/>
    <tableColumn id="5" name="Final"/>
    <tableColumn id="6" name="Point Total"/>
    <tableColumn id="7" name="Course Average" dataDxfId="0"/>
    <tableColumn id="8" name="Letter Grade"/>
  </tableColumns>
  <tableStyleInfo name="TableStyleMedium1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>
      <selection activeCell="A12" sqref="A12"/>
    </sheetView>
  </sheetViews>
  <sheetFormatPr defaultRowHeight="15"/>
  <cols>
    <col min="1" max="1" width="13.42578125" bestFit="1" customWidth="1"/>
    <col min="2" max="10" width="9.5703125" bestFit="1" customWidth="1"/>
    <col min="11" max="11" width="18.42578125" bestFit="1" customWidth="1"/>
    <col min="12" max="12" width="18" bestFit="1" customWidth="1"/>
    <col min="13" max="13" width="14.28515625" bestFit="1" customWidth="1"/>
    <col min="14" max="14" width="17.42578125" bestFit="1" customWidth="1"/>
    <col min="15" max="15" width="12.7109375" bestFit="1" customWidth="1"/>
    <col min="16" max="16" width="12.7109375" customWidth="1"/>
    <col min="17" max="17" width="17" customWidth="1"/>
    <col min="18" max="18" width="14.1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20</v>
      </c>
      <c r="B2">
        <v>100</v>
      </c>
      <c r="C2">
        <v>82</v>
      </c>
      <c r="D2">
        <v>80</v>
      </c>
      <c r="E2">
        <v>87</v>
      </c>
      <c r="F2">
        <v>100</v>
      </c>
      <c r="G2">
        <v>78</v>
      </c>
      <c r="H2">
        <v>98</v>
      </c>
      <c r="I2">
        <v>88</v>
      </c>
      <c r="J2">
        <v>85</v>
      </c>
      <c r="K2">
        <v>94</v>
      </c>
      <c r="L2">
        <v>90</v>
      </c>
      <c r="M2">
        <v>100</v>
      </c>
      <c r="N2">
        <v>80</v>
      </c>
      <c r="O2">
        <v>98</v>
      </c>
      <c r="P2">
        <f>((SUM(B2:J2)/2)+SUM(K2:O2))</f>
        <v>861</v>
      </c>
      <c r="Q2" s="1">
        <f>(P2/950)*100</f>
        <v>90.631578947368425</v>
      </c>
      <c r="R2" t="str">
        <f>VLOOKUP(Q2,'Letter Grade Array'!$A$2:$B$102, 2,TRUE)</f>
        <v>A</v>
      </c>
    </row>
    <row r="3" spans="1:18">
      <c r="A3" t="s">
        <v>21</v>
      </c>
      <c r="B3">
        <v>98</v>
      </c>
      <c r="C3">
        <v>78</v>
      </c>
      <c r="D3">
        <v>95</v>
      </c>
      <c r="E3">
        <v>0</v>
      </c>
      <c r="F3">
        <v>84</v>
      </c>
      <c r="G3">
        <v>87</v>
      </c>
      <c r="H3">
        <v>92</v>
      </c>
      <c r="I3">
        <v>75</v>
      </c>
      <c r="J3">
        <v>50</v>
      </c>
      <c r="K3">
        <v>85</v>
      </c>
      <c r="L3">
        <v>80</v>
      </c>
      <c r="M3">
        <v>85</v>
      </c>
      <c r="N3">
        <v>85</v>
      </c>
      <c r="O3">
        <v>87</v>
      </c>
      <c r="P3">
        <f t="shared" ref="P3:P7" si="0">((SUM(B3:J3)/2)+SUM(K3:O3))</f>
        <v>751.5</v>
      </c>
      <c r="Q3" s="1">
        <f t="shared" ref="Q3:Q7" si="1">(P3/950)*100</f>
        <v>79.10526315789474</v>
      </c>
      <c r="R3" t="str">
        <f>VLOOKUP(Q3,'Letter Grade Array'!$A$2:$B$102, 2,TRUE)</f>
        <v>C</v>
      </c>
    </row>
    <row r="4" spans="1:18">
      <c r="A4" t="s">
        <v>22</v>
      </c>
      <c r="B4">
        <v>100</v>
      </c>
      <c r="C4">
        <v>68</v>
      </c>
      <c r="D4">
        <v>96</v>
      </c>
      <c r="E4">
        <v>93</v>
      </c>
      <c r="F4">
        <v>97</v>
      </c>
      <c r="G4">
        <v>82</v>
      </c>
      <c r="H4">
        <v>87</v>
      </c>
      <c r="I4">
        <v>97</v>
      </c>
      <c r="J4">
        <v>80</v>
      </c>
      <c r="K4">
        <v>87</v>
      </c>
      <c r="L4">
        <v>100</v>
      </c>
      <c r="M4">
        <v>100</v>
      </c>
      <c r="N4">
        <v>90</v>
      </c>
      <c r="O4">
        <v>78</v>
      </c>
      <c r="P4">
        <f t="shared" si="0"/>
        <v>855</v>
      </c>
      <c r="Q4" s="1">
        <f t="shared" si="1"/>
        <v>90</v>
      </c>
      <c r="R4" t="str">
        <f>VLOOKUP(Q4,'Letter Grade Array'!$A$2:$B$102, 2,TRUE)</f>
        <v>A</v>
      </c>
    </row>
    <row r="5" spans="1:18">
      <c r="A5" t="s">
        <v>23</v>
      </c>
      <c r="B5">
        <v>100</v>
      </c>
      <c r="C5">
        <v>65</v>
      </c>
      <c r="D5">
        <v>80</v>
      </c>
      <c r="E5">
        <v>84</v>
      </c>
      <c r="F5">
        <v>92</v>
      </c>
      <c r="G5">
        <v>95</v>
      </c>
      <c r="H5">
        <v>100</v>
      </c>
      <c r="I5">
        <v>86</v>
      </c>
      <c r="J5">
        <v>100</v>
      </c>
      <c r="K5">
        <v>92</v>
      </c>
      <c r="L5">
        <v>80</v>
      </c>
      <c r="M5">
        <v>90</v>
      </c>
      <c r="N5">
        <v>90</v>
      </c>
      <c r="O5">
        <v>84</v>
      </c>
      <c r="P5">
        <f t="shared" si="0"/>
        <v>837</v>
      </c>
      <c r="Q5" s="1">
        <f t="shared" si="1"/>
        <v>88.10526315789474</v>
      </c>
      <c r="R5" t="str">
        <f>VLOOKUP(Q5,'Letter Grade Array'!$A$2:$B$102, 2,TRUE)</f>
        <v>B</v>
      </c>
    </row>
    <row r="6" spans="1:18">
      <c r="A6" t="s">
        <v>24</v>
      </c>
      <c r="B6">
        <v>98</v>
      </c>
      <c r="C6">
        <v>74</v>
      </c>
      <c r="D6">
        <v>90</v>
      </c>
      <c r="E6">
        <v>89</v>
      </c>
      <c r="F6">
        <v>100</v>
      </c>
      <c r="G6">
        <v>94</v>
      </c>
      <c r="H6">
        <v>72</v>
      </c>
      <c r="I6">
        <v>85</v>
      </c>
      <c r="J6">
        <v>90</v>
      </c>
      <c r="K6">
        <v>84</v>
      </c>
      <c r="L6">
        <v>95</v>
      </c>
      <c r="M6">
        <v>95</v>
      </c>
      <c r="N6">
        <v>95</v>
      </c>
      <c r="O6">
        <v>85</v>
      </c>
      <c r="P6">
        <f t="shared" si="0"/>
        <v>850</v>
      </c>
      <c r="Q6" s="1">
        <f t="shared" si="1"/>
        <v>89.473684210526315</v>
      </c>
      <c r="R6" t="str">
        <f>VLOOKUP(Q6,'Letter Grade Array'!$A$2:$B$102, 2,TRUE)</f>
        <v>B</v>
      </c>
    </row>
    <row r="7" spans="1:18">
      <c r="A7" t="s">
        <v>25</v>
      </c>
      <c r="B7">
        <v>95</v>
      </c>
      <c r="C7">
        <v>91</v>
      </c>
      <c r="D7">
        <v>82</v>
      </c>
      <c r="E7">
        <v>81</v>
      </c>
      <c r="F7">
        <v>94</v>
      </c>
      <c r="G7">
        <v>100</v>
      </c>
      <c r="H7">
        <v>90</v>
      </c>
      <c r="I7">
        <v>95</v>
      </c>
      <c r="J7">
        <v>100</v>
      </c>
      <c r="K7">
        <v>92</v>
      </c>
      <c r="L7">
        <v>95</v>
      </c>
      <c r="M7">
        <v>90</v>
      </c>
      <c r="N7">
        <v>85</v>
      </c>
      <c r="O7">
        <v>90</v>
      </c>
      <c r="P7">
        <f t="shared" si="0"/>
        <v>866</v>
      </c>
      <c r="Q7" s="1">
        <f t="shared" si="1"/>
        <v>91.15789473684211</v>
      </c>
      <c r="R7" t="str">
        <f>VLOOKUP(Q7,'Letter Grade Array'!$A$2:$B$102, 2,TRUE)</f>
        <v>A</v>
      </c>
    </row>
    <row r="9" spans="1:18">
      <c r="A9" t="s">
        <v>18</v>
      </c>
      <c r="B9" s="1">
        <f>AVERAGE(B2:B7)</f>
        <v>98.5</v>
      </c>
      <c r="C9" s="1">
        <f t="shared" ref="C9:Q9" si="2">AVERAGE(C2:C7)</f>
        <v>76.333333333333329</v>
      </c>
      <c r="D9" s="1">
        <f t="shared" si="2"/>
        <v>87.166666666666671</v>
      </c>
      <c r="E9" s="1">
        <f t="shared" si="2"/>
        <v>72.333333333333329</v>
      </c>
      <c r="F9" s="1">
        <f t="shared" si="2"/>
        <v>94.5</v>
      </c>
      <c r="G9" s="1">
        <f t="shared" si="2"/>
        <v>89.333333333333329</v>
      </c>
      <c r="H9" s="1">
        <f t="shared" si="2"/>
        <v>89.833333333333329</v>
      </c>
      <c r="I9" s="1">
        <f t="shared" si="2"/>
        <v>87.666666666666671</v>
      </c>
      <c r="J9" s="1">
        <f t="shared" si="2"/>
        <v>84.166666666666671</v>
      </c>
      <c r="K9" s="1">
        <f t="shared" si="2"/>
        <v>89</v>
      </c>
      <c r="L9" s="1">
        <f t="shared" si="2"/>
        <v>90</v>
      </c>
      <c r="M9" s="1">
        <f t="shared" si="2"/>
        <v>93.333333333333329</v>
      </c>
      <c r="N9" s="1">
        <f t="shared" si="2"/>
        <v>87.5</v>
      </c>
      <c r="O9" s="1">
        <f t="shared" si="2"/>
        <v>87</v>
      </c>
      <c r="P9" s="1">
        <f t="shared" si="2"/>
        <v>836.75</v>
      </c>
      <c r="Q9" s="1">
        <f t="shared" si="2"/>
        <v>88.078947368421055</v>
      </c>
      <c r="R9" t="str">
        <f>VLOOKUP(Q9,'Letter Grade Array'!$A$2:$B$102, 2,TRUE)</f>
        <v>B</v>
      </c>
    </row>
    <row r="10" spans="1:18">
      <c r="A10" t="s">
        <v>19</v>
      </c>
      <c r="B10" s="1">
        <f>_xlfn.STDEV.P(B2:B7)</f>
        <v>1.8027756377319946</v>
      </c>
      <c r="C10" s="1">
        <f t="shared" ref="C10:Q10" si="3">_xlfn.STDEV.P(C2:C7)</f>
        <v>8.6922698736035322</v>
      </c>
      <c r="D10" s="1">
        <f t="shared" si="3"/>
        <v>6.7925612907716104</v>
      </c>
      <c r="E10" s="1">
        <f t="shared" si="3"/>
        <v>32.566171951206606</v>
      </c>
      <c r="F10" s="1">
        <f t="shared" si="3"/>
        <v>5.5302200076790191</v>
      </c>
      <c r="G10" s="1">
        <f t="shared" si="3"/>
        <v>7.6955975870767972</v>
      </c>
      <c r="H10" s="1">
        <f t="shared" si="3"/>
        <v>9.1363133824438307</v>
      </c>
      <c r="I10" s="1">
        <f t="shared" si="3"/>
        <v>7.2033942616581035</v>
      </c>
      <c r="J10" s="1">
        <f t="shared" si="3"/>
        <v>16.935334527417979</v>
      </c>
      <c r="K10" s="1">
        <f t="shared" si="3"/>
        <v>3.8297084310253524</v>
      </c>
      <c r="L10" s="1">
        <f t="shared" si="3"/>
        <v>7.6376261582597333</v>
      </c>
      <c r="M10" s="1">
        <f t="shared" si="3"/>
        <v>5.5277079839256666</v>
      </c>
      <c r="N10" s="1">
        <f t="shared" si="3"/>
        <v>4.7871355387816905</v>
      </c>
      <c r="O10" s="1">
        <f t="shared" si="3"/>
        <v>6.110100926607787</v>
      </c>
      <c r="P10" s="1">
        <f t="shared" si="3"/>
        <v>39.200074404691293</v>
      </c>
      <c r="Q10" s="1">
        <f t="shared" si="3"/>
        <v>4.1263236215464518</v>
      </c>
    </row>
    <row r="12" spans="1:18">
      <c r="A12" s="2" t="s">
        <v>53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H2" sqref="H2"/>
    </sheetView>
  </sheetViews>
  <sheetFormatPr defaultRowHeight="15"/>
  <cols>
    <col min="1" max="1" width="13.42578125" bestFit="1" customWidth="1"/>
    <col min="5" max="5" width="12.85546875" customWidth="1"/>
    <col min="7" max="7" width="12.7109375" customWidth="1"/>
    <col min="8" max="8" width="17" customWidth="1"/>
    <col min="9" max="9" width="14.140625" customWidth="1"/>
  </cols>
  <sheetData>
    <row r="1" spans="1:9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14</v>
      </c>
      <c r="H1" t="s">
        <v>15</v>
      </c>
      <c r="I1" t="s">
        <v>16</v>
      </c>
    </row>
    <row r="2" spans="1:9">
      <c r="A2" t="s">
        <v>20</v>
      </c>
      <c r="B2">
        <v>90</v>
      </c>
      <c r="C2">
        <v>100</v>
      </c>
      <c r="D2">
        <v>85</v>
      </c>
      <c r="E2">
        <v>90</v>
      </c>
      <c r="F2">
        <v>98</v>
      </c>
      <c r="G2">
        <f>SUM(B2:F2)</f>
        <v>463</v>
      </c>
      <c r="H2">
        <f>SUM(((SUM(B2:D2))*0.2), (E2*0.15), (F2*0.25))</f>
        <v>93</v>
      </c>
      <c r="I2" t="str">
        <f>VLOOKUP(H2, 'Letter Grade Array'!$A$2:$B$102, 2, TRUE)</f>
        <v>A</v>
      </c>
    </row>
    <row r="3" spans="1:9">
      <c r="A3" t="s">
        <v>21</v>
      </c>
      <c r="B3">
        <v>82</v>
      </c>
      <c r="C3">
        <v>97</v>
      </c>
      <c r="D3">
        <v>76</v>
      </c>
      <c r="E3">
        <v>89</v>
      </c>
      <c r="F3">
        <v>93</v>
      </c>
      <c r="G3">
        <f t="shared" ref="G3:G7" si="0">SUM(B3:F3)</f>
        <v>437</v>
      </c>
      <c r="H3">
        <f t="shared" ref="H3:H7" si="1">SUM(((SUM(B3:D3))*0.2), (E3*0.15), (F3*0.25))</f>
        <v>87.6</v>
      </c>
      <c r="I3" t="str">
        <f>VLOOKUP(H3, 'Letter Grade Array'!$A$2:$B$102, 2, TRUE)</f>
        <v>B</v>
      </c>
    </row>
    <row r="4" spans="1:9">
      <c r="A4" t="s">
        <v>22</v>
      </c>
      <c r="B4">
        <v>100</v>
      </c>
      <c r="C4">
        <v>80</v>
      </c>
      <c r="D4">
        <v>75</v>
      </c>
      <c r="E4">
        <v>99</v>
      </c>
      <c r="F4">
        <v>84</v>
      </c>
      <c r="G4">
        <f t="shared" si="0"/>
        <v>438</v>
      </c>
      <c r="H4">
        <f t="shared" si="1"/>
        <v>86.85</v>
      </c>
      <c r="I4" t="str">
        <f>VLOOKUP(H4, 'Letter Grade Array'!$A$2:$B$102, 2, TRUE)</f>
        <v>B</v>
      </c>
    </row>
    <row r="5" spans="1:9">
      <c r="A5" t="s">
        <v>23</v>
      </c>
      <c r="B5">
        <v>95</v>
      </c>
      <c r="C5">
        <v>88</v>
      </c>
      <c r="D5">
        <v>91</v>
      </c>
      <c r="E5">
        <v>72</v>
      </c>
      <c r="F5">
        <v>98</v>
      </c>
      <c r="G5">
        <f t="shared" si="0"/>
        <v>444</v>
      </c>
      <c r="H5">
        <f t="shared" si="1"/>
        <v>90.100000000000009</v>
      </c>
      <c r="I5" t="str">
        <f>VLOOKUP(H5, 'Letter Grade Array'!$A$2:$B$102, 2, TRUE)</f>
        <v>A</v>
      </c>
    </row>
    <row r="6" spans="1:9">
      <c r="A6" t="s">
        <v>24</v>
      </c>
      <c r="B6">
        <v>90</v>
      </c>
      <c r="C6">
        <v>83</v>
      </c>
      <c r="D6">
        <v>80</v>
      </c>
      <c r="E6">
        <v>78</v>
      </c>
      <c r="F6">
        <v>93</v>
      </c>
      <c r="G6">
        <f t="shared" si="0"/>
        <v>424</v>
      </c>
      <c r="H6">
        <f t="shared" si="1"/>
        <v>85.55</v>
      </c>
      <c r="I6" t="str">
        <f>VLOOKUP(H6, 'Letter Grade Array'!$A$2:$B$102, 2, TRUE)</f>
        <v>B</v>
      </c>
    </row>
    <row r="7" spans="1:9">
      <c r="A7" t="s">
        <v>25</v>
      </c>
      <c r="B7">
        <v>67</v>
      </c>
      <c r="C7">
        <v>71</v>
      </c>
      <c r="D7">
        <v>80</v>
      </c>
      <c r="E7">
        <v>89</v>
      </c>
      <c r="F7">
        <v>90</v>
      </c>
      <c r="G7">
        <f t="shared" si="0"/>
        <v>397</v>
      </c>
      <c r="H7">
        <f t="shared" si="1"/>
        <v>79.45</v>
      </c>
      <c r="I7" t="str">
        <f>VLOOKUP(H7, 'Letter Grade Array'!$A$2:$B$102, 2, TRUE)</f>
        <v>C</v>
      </c>
    </row>
    <row r="9" spans="1:9">
      <c r="A9" t="s">
        <v>18</v>
      </c>
      <c r="B9">
        <f>AVERAGE(B2:B7)</f>
        <v>87.333333333333329</v>
      </c>
      <c r="C9">
        <f t="shared" ref="C9:H9" si="2">AVERAGE(C2:C7)</f>
        <v>86.5</v>
      </c>
      <c r="D9">
        <f t="shared" si="2"/>
        <v>81.166666666666671</v>
      </c>
      <c r="E9">
        <f t="shared" si="2"/>
        <v>86.166666666666671</v>
      </c>
      <c r="F9">
        <f t="shared" si="2"/>
        <v>92.666666666666671</v>
      </c>
      <c r="G9">
        <f t="shared" si="2"/>
        <v>433.83333333333331</v>
      </c>
      <c r="H9">
        <f t="shared" si="2"/>
        <v>87.091666666666683</v>
      </c>
      <c r="I9" t="str">
        <f>VLOOKUP(H9, 'Letter Grade Array'!$A$2:$B$102, 2, TRUE)</f>
        <v>B</v>
      </c>
    </row>
    <row r="10" spans="1:9">
      <c r="A10" t="s">
        <v>19</v>
      </c>
      <c r="B10">
        <f>_xlfn.STDEV.P(B2:B7)</f>
        <v>10.609220308559699</v>
      </c>
      <c r="C10">
        <f t="shared" ref="C10:H10" si="3">_xlfn.STDEV.P(C2:C7)</f>
        <v>9.9121138007995047</v>
      </c>
      <c r="D10">
        <f t="shared" si="3"/>
        <v>5.4594464513864001</v>
      </c>
      <c r="E10">
        <f t="shared" si="3"/>
        <v>8.7828747508369318</v>
      </c>
      <c r="F10">
        <f t="shared" si="3"/>
        <v>4.8189440982669867</v>
      </c>
      <c r="G10">
        <f t="shared" si="3"/>
        <v>20.144616043885165</v>
      </c>
      <c r="H10">
        <f t="shared" si="3"/>
        <v>4.1842379500002416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F2" sqref="F2"/>
    </sheetView>
  </sheetViews>
  <sheetFormatPr defaultRowHeight="15"/>
  <cols>
    <col min="1" max="1" width="13.42578125" bestFit="1" customWidth="1"/>
    <col min="2" max="2" width="12.85546875" customWidth="1"/>
    <col min="3" max="3" width="10.85546875" customWidth="1"/>
    <col min="5" max="5" width="12.7109375" customWidth="1"/>
    <col min="6" max="6" width="17" customWidth="1"/>
    <col min="7" max="7" width="14.140625" customWidth="1"/>
  </cols>
  <sheetData>
    <row r="1" spans="1:7">
      <c r="A1" t="s">
        <v>0</v>
      </c>
      <c r="B1" t="s">
        <v>36</v>
      </c>
      <c r="C1" t="s">
        <v>38</v>
      </c>
      <c r="D1" t="s">
        <v>37</v>
      </c>
      <c r="E1" t="s">
        <v>14</v>
      </c>
      <c r="F1" t="s">
        <v>15</v>
      </c>
      <c r="G1" t="s">
        <v>16</v>
      </c>
    </row>
    <row r="2" spans="1:7">
      <c r="A2" t="s">
        <v>20</v>
      </c>
      <c r="B2">
        <v>92</v>
      </c>
      <c r="C2">
        <v>90</v>
      </c>
      <c r="D2">
        <v>90</v>
      </c>
      <c r="E2">
        <f>SUM(B2:D2)</f>
        <v>272</v>
      </c>
      <c r="F2">
        <f>(B2*0.25)+(C2*0.25)+(D2*0.5)</f>
        <v>90.5</v>
      </c>
      <c r="G2" t="str">
        <f>VLOOKUP(F2, 'Letter Grade Array'!$A$2:$B$102, 2, TRUE)</f>
        <v>A</v>
      </c>
    </row>
    <row r="3" spans="1:7">
      <c r="A3" t="s">
        <v>21</v>
      </c>
      <c r="B3">
        <v>89</v>
      </c>
      <c r="C3">
        <v>80</v>
      </c>
      <c r="D3">
        <v>70</v>
      </c>
      <c r="E3">
        <f t="shared" ref="E3:E7" si="0">SUM(B3:D3)</f>
        <v>239</v>
      </c>
      <c r="F3">
        <f t="shared" ref="F3:F7" si="1">(B3*0.25)+(C3*0.25)+(D3*0.5)</f>
        <v>77.25</v>
      </c>
      <c r="G3" t="str">
        <f>VLOOKUP(F3, 'Letter Grade Array'!$A$2:$B$102, 2, TRUE)</f>
        <v>C</v>
      </c>
    </row>
    <row r="4" spans="1:7">
      <c r="A4" t="s">
        <v>22</v>
      </c>
      <c r="B4">
        <v>80</v>
      </c>
      <c r="C4">
        <v>80</v>
      </c>
      <c r="D4">
        <v>95</v>
      </c>
      <c r="E4">
        <f t="shared" si="0"/>
        <v>255</v>
      </c>
      <c r="F4">
        <f t="shared" si="1"/>
        <v>87.5</v>
      </c>
      <c r="G4" t="str">
        <f>VLOOKUP(F4, 'Letter Grade Array'!$A$2:$B$102, 2, TRUE)</f>
        <v>B</v>
      </c>
    </row>
    <row r="5" spans="1:7">
      <c r="A5" t="s">
        <v>23</v>
      </c>
      <c r="B5">
        <v>80</v>
      </c>
      <c r="C5">
        <v>80</v>
      </c>
      <c r="D5">
        <v>68</v>
      </c>
      <c r="E5">
        <f t="shared" si="0"/>
        <v>228</v>
      </c>
      <c r="F5">
        <f t="shared" si="1"/>
        <v>74</v>
      </c>
      <c r="G5" t="str">
        <f>VLOOKUP(F5, 'Letter Grade Array'!$A$2:$B$102, 2, TRUE)</f>
        <v>C</v>
      </c>
    </row>
    <row r="6" spans="1:7">
      <c r="A6" t="s">
        <v>24</v>
      </c>
      <c r="B6">
        <v>90</v>
      </c>
      <c r="C6">
        <v>85</v>
      </c>
      <c r="D6">
        <v>90</v>
      </c>
      <c r="E6">
        <f t="shared" si="0"/>
        <v>265</v>
      </c>
      <c r="F6">
        <f t="shared" si="1"/>
        <v>88.75</v>
      </c>
      <c r="G6" t="str">
        <f>VLOOKUP(F6, 'Letter Grade Array'!$A$2:$B$102, 2, TRUE)</f>
        <v>B</v>
      </c>
    </row>
    <row r="7" spans="1:7">
      <c r="A7" t="s">
        <v>25</v>
      </c>
      <c r="B7">
        <v>78</v>
      </c>
      <c r="C7">
        <v>70</v>
      </c>
      <c r="D7">
        <v>82</v>
      </c>
      <c r="E7">
        <f t="shared" si="0"/>
        <v>230</v>
      </c>
      <c r="F7">
        <f t="shared" si="1"/>
        <v>78</v>
      </c>
      <c r="G7" t="str">
        <f>VLOOKUP(F7, 'Letter Grade Array'!$A$2:$B$102, 2, TRUE)</f>
        <v>C</v>
      </c>
    </row>
    <row r="9" spans="1:7">
      <c r="A9" t="s">
        <v>18</v>
      </c>
      <c r="B9">
        <f>AVERAGE(B2:B7)</f>
        <v>84.833333333333329</v>
      </c>
      <c r="C9">
        <f t="shared" ref="C9:F9" si="2">AVERAGE(C2:C7)</f>
        <v>80.833333333333329</v>
      </c>
      <c r="D9">
        <f t="shared" si="2"/>
        <v>82.5</v>
      </c>
      <c r="E9">
        <f t="shared" si="2"/>
        <v>248.16666666666666</v>
      </c>
      <c r="F9">
        <f t="shared" si="2"/>
        <v>82.666666666666671</v>
      </c>
      <c r="G9" t="str">
        <f>VLOOKUP(F9, 'Letter Grade Array'!$A$2:$B$102, 2, TRUE)</f>
        <v>B</v>
      </c>
    </row>
    <row r="10" spans="1:7">
      <c r="A10" t="s">
        <v>19</v>
      </c>
      <c r="B10">
        <f>_xlfn.STDEV.P(B2:B7)</f>
        <v>5.6100108932356108</v>
      </c>
      <c r="C10">
        <f t="shared" ref="C10:F10" si="3">_xlfn.STDEV.P(C2:C7)</f>
        <v>6.0667582410670997</v>
      </c>
      <c r="D10">
        <f t="shared" si="3"/>
        <v>10.291582320841954</v>
      </c>
      <c r="E10">
        <f t="shared" si="3"/>
        <v>16.925490309654908</v>
      </c>
      <c r="F10">
        <f t="shared" si="3"/>
        <v>6.428560405634288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Q10"/>
  <sheetViews>
    <sheetView workbookViewId="0">
      <selection activeCell="L2" sqref="L2"/>
    </sheetView>
  </sheetViews>
  <sheetFormatPr defaultRowHeight="15"/>
  <cols>
    <col min="1" max="1" width="13.42578125" bestFit="1" customWidth="1"/>
    <col min="2" max="10" width="7.7109375" customWidth="1"/>
    <col min="11" max="11" width="8.7109375" customWidth="1"/>
    <col min="12" max="12" width="14" customWidth="1"/>
    <col min="13" max="13" width="10.85546875" customWidth="1"/>
    <col min="14" max="14" width="7.42578125" customWidth="1"/>
    <col min="15" max="15" width="12.7109375" customWidth="1"/>
    <col min="16" max="16" width="17" customWidth="1"/>
    <col min="17" max="17" width="14.140625" customWidth="1"/>
  </cols>
  <sheetData>
    <row r="1" spans="1:17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38</v>
      </c>
      <c r="N1" t="s">
        <v>37</v>
      </c>
      <c r="O1" t="s">
        <v>14</v>
      </c>
      <c r="P1" t="s">
        <v>15</v>
      </c>
      <c r="Q1" t="s">
        <v>16</v>
      </c>
    </row>
    <row r="2" spans="1:17">
      <c r="A2" t="s">
        <v>20</v>
      </c>
      <c r="B2">
        <v>100</v>
      </c>
      <c r="C2">
        <v>98</v>
      </c>
      <c r="D2">
        <v>100</v>
      </c>
      <c r="E2">
        <v>67</v>
      </c>
      <c r="F2">
        <v>98</v>
      </c>
      <c r="G2">
        <v>59</v>
      </c>
      <c r="H2">
        <v>87</v>
      </c>
      <c r="I2">
        <v>81</v>
      </c>
      <c r="J2">
        <v>96</v>
      </c>
      <c r="K2">
        <v>84</v>
      </c>
      <c r="L2" s="1">
        <f>((SUM(B2:K2))-(MIN(B2:K2)))/9</f>
        <v>90.111111111111114</v>
      </c>
      <c r="M2">
        <v>100</v>
      </c>
      <c r="N2">
        <v>80</v>
      </c>
      <c r="O2" s="1">
        <f>SUM(L2:N2)</f>
        <v>270.11111111111109</v>
      </c>
      <c r="P2" s="1">
        <f>(L2*0.3)+(M2*0.2)+(N2*0.5)</f>
        <v>87.033333333333331</v>
      </c>
      <c r="Q2" t="str">
        <f>VLOOKUP(P2, 'Letter Grade Array'!$A$2:$B$102, 2, TRUE)</f>
        <v>B</v>
      </c>
    </row>
    <row r="3" spans="1:17">
      <c r="A3" t="s">
        <v>21</v>
      </c>
      <c r="B3">
        <v>86</v>
      </c>
      <c r="C3">
        <v>84</v>
      </c>
      <c r="D3">
        <v>82</v>
      </c>
      <c r="E3">
        <v>97</v>
      </c>
      <c r="F3">
        <v>98</v>
      </c>
      <c r="G3">
        <v>84</v>
      </c>
      <c r="H3">
        <v>51</v>
      </c>
      <c r="I3">
        <v>76</v>
      </c>
      <c r="J3">
        <v>94</v>
      </c>
      <c r="K3">
        <v>80</v>
      </c>
      <c r="L3" s="1">
        <f t="shared" ref="L3:L7" si="0">((SUM(B3:K3))-(MIN(B3:K3)))/9</f>
        <v>86.777777777777771</v>
      </c>
      <c r="M3">
        <v>90</v>
      </c>
      <c r="N3">
        <v>80</v>
      </c>
      <c r="O3" s="1">
        <f t="shared" ref="O3:O7" si="1">SUM(L3:N3)</f>
        <v>256.77777777777777</v>
      </c>
      <c r="P3" s="1">
        <f t="shared" ref="P3:P7" si="2">(L3*0.3)+(M3*0.2)+(N3*0.5)</f>
        <v>84.033333333333331</v>
      </c>
      <c r="Q3" t="str">
        <f>VLOOKUP(P3, 'Letter Grade Array'!$A$2:$B$102, 2, TRUE)</f>
        <v>B</v>
      </c>
    </row>
    <row r="4" spans="1:17">
      <c r="A4" t="s">
        <v>22</v>
      </c>
      <c r="B4">
        <v>84</v>
      </c>
      <c r="C4">
        <v>100</v>
      </c>
      <c r="D4">
        <v>65</v>
      </c>
      <c r="E4">
        <v>80</v>
      </c>
      <c r="F4">
        <v>90</v>
      </c>
      <c r="G4">
        <v>93</v>
      </c>
      <c r="H4">
        <v>71</v>
      </c>
      <c r="I4">
        <v>75</v>
      </c>
      <c r="J4">
        <v>57</v>
      </c>
      <c r="K4">
        <v>50</v>
      </c>
      <c r="L4" s="1">
        <f t="shared" si="0"/>
        <v>79.444444444444443</v>
      </c>
      <c r="M4">
        <v>85</v>
      </c>
      <c r="N4">
        <v>75</v>
      </c>
      <c r="O4" s="1">
        <f t="shared" si="1"/>
        <v>239.44444444444446</v>
      </c>
      <c r="P4" s="1">
        <f t="shared" si="2"/>
        <v>78.333333333333329</v>
      </c>
      <c r="Q4" t="str">
        <f>VLOOKUP(P4, 'Letter Grade Array'!$A$2:$B$102, 2, TRUE)</f>
        <v>C</v>
      </c>
    </row>
    <row r="5" spans="1:17">
      <c r="A5" t="s">
        <v>23</v>
      </c>
      <c r="B5">
        <v>80</v>
      </c>
      <c r="C5">
        <v>82</v>
      </c>
      <c r="D5">
        <v>100</v>
      </c>
      <c r="E5">
        <v>97</v>
      </c>
      <c r="F5">
        <v>81</v>
      </c>
      <c r="G5">
        <v>80</v>
      </c>
      <c r="H5">
        <v>99</v>
      </c>
      <c r="I5">
        <v>95</v>
      </c>
      <c r="J5">
        <v>74</v>
      </c>
      <c r="K5">
        <v>70</v>
      </c>
      <c r="L5" s="1">
        <f t="shared" si="0"/>
        <v>87.555555555555557</v>
      </c>
      <c r="M5">
        <v>80</v>
      </c>
      <c r="N5">
        <v>76</v>
      </c>
      <c r="O5" s="1">
        <f t="shared" si="1"/>
        <v>243.55555555555554</v>
      </c>
      <c r="P5" s="1">
        <f t="shared" si="2"/>
        <v>80.266666666666666</v>
      </c>
      <c r="Q5" t="str">
        <f>VLOOKUP(P5, 'Letter Grade Array'!$A$2:$B$102, 2, TRUE)</f>
        <v>B</v>
      </c>
    </row>
    <row r="6" spans="1:17">
      <c r="A6" t="s">
        <v>24</v>
      </c>
      <c r="B6">
        <v>100</v>
      </c>
      <c r="C6">
        <v>82</v>
      </c>
      <c r="D6">
        <v>84</v>
      </c>
      <c r="E6">
        <v>85</v>
      </c>
      <c r="F6">
        <v>68</v>
      </c>
      <c r="G6">
        <v>100</v>
      </c>
      <c r="H6">
        <v>80</v>
      </c>
      <c r="I6">
        <v>70</v>
      </c>
      <c r="J6">
        <v>95</v>
      </c>
      <c r="K6">
        <v>62</v>
      </c>
      <c r="L6" s="1">
        <f t="shared" si="0"/>
        <v>84.888888888888886</v>
      </c>
      <c r="M6">
        <v>100</v>
      </c>
      <c r="N6">
        <v>80</v>
      </c>
      <c r="O6" s="1">
        <f t="shared" si="1"/>
        <v>264.88888888888891</v>
      </c>
      <c r="P6" s="1">
        <f t="shared" si="2"/>
        <v>85.466666666666669</v>
      </c>
      <c r="Q6" t="str">
        <f>VLOOKUP(P6, 'Letter Grade Array'!$A$2:$B$102, 2, TRUE)</f>
        <v>B</v>
      </c>
    </row>
    <row r="7" spans="1:17">
      <c r="A7" t="s">
        <v>25</v>
      </c>
      <c r="B7">
        <v>68</v>
      </c>
      <c r="C7">
        <v>58</v>
      </c>
      <c r="D7">
        <v>80</v>
      </c>
      <c r="E7">
        <v>100</v>
      </c>
      <c r="F7">
        <v>75</v>
      </c>
      <c r="G7">
        <v>86</v>
      </c>
      <c r="H7">
        <v>100</v>
      </c>
      <c r="I7">
        <v>95</v>
      </c>
      <c r="J7">
        <v>90</v>
      </c>
      <c r="K7">
        <v>90</v>
      </c>
      <c r="L7" s="1">
        <f t="shared" si="0"/>
        <v>87.111111111111114</v>
      </c>
      <c r="M7">
        <v>95</v>
      </c>
      <c r="N7">
        <v>92</v>
      </c>
      <c r="O7" s="1">
        <f t="shared" si="1"/>
        <v>274.11111111111109</v>
      </c>
      <c r="P7" s="1">
        <f t="shared" si="2"/>
        <v>91.133333333333326</v>
      </c>
      <c r="Q7" t="str">
        <f>VLOOKUP(P7, 'Letter Grade Array'!$A$2:$B$102, 2, TRUE)</f>
        <v>A</v>
      </c>
    </row>
    <row r="9" spans="1:17">
      <c r="A9" t="s">
        <v>18</v>
      </c>
      <c r="B9">
        <f>AVERAGE(B2:B7)</f>
        <v>86.333333333333329</v>
      </c>
      <c r="C9">
        <f t="shared" ref="C9:P9" si="3">AVERAGE(C2:C7)</f>
        <v>84</v>
      </c>
      <c r="D9">
        <f t="shared" si="3"/>
        <v>85.166666666666671</v>
      </c>
      <c r="E9">
        <f t="shared" si="3"/>
        <v>87.666666666666671</v>
      </c>
      <c r="F9">
        <f t="shared" si="3"/>
        <v>85</v>
      </c>
      <c r="G9">
        <f t="shared" si="3"/>
        <v>83.666666666666671</v>
      </c>
      <c r="H9">
        <f t="shared" si="3"/>
        <v>81.333333333333329</v>
      </c>
      <c r="I9">
        <f t="shared" si="3"/>
        <v>82</v>
      </c>
      <c r="J9">
        <f t="shared" si="3"/>
        <v>84.333333333333329</v>
      </c>
      <c r="K9">
        <f t="shared" si="3"/>
        <v>72.666666666666671</v>
      </c>
      <c r="L9">
        <f t="shared" si="3"/>
        <v>85.981481481481467</v>
      </c>
      <c r="M9">
        <f t="shared" si="3"/>
        <v>91.666666666666671</v>
      </c>
      <c r="N9">
        <f t="shared" si="3"/>
        <v>80.5</v>
      </c>
      <c r="O9">
        <f t="shared" si="3"/>
        <v>258.14814814814815</v>
      </c>
      <c r="P9">
        <f t="shared" si="3"/>
        <v>84.37777777777778</v>
      </c>
      <c r="Q9" t="str">
        <f>VLOOKUP(P9, 'Letter Grade Array'!$A$2:$B$102, 2, TRUE)</f>
        <v>B</v>
      </c>
    </row>
    <row r="10" spans="1:17">
      <c r="A10" t="s">
        <v>19</v>
      </c>
      <c r="B10">
        <f>_xlfn.STDEV.P(B2:B7)</f>
        <v>11.220021786471223</v>
      </c>
      <c r="C10">
        <f t="shared" ref="C10:P10" si="4">_xlfn.STDEV.P(C2:C7)</f>
        <v>13.759844960366863</v>
      </c>
      <c r="D10">
        <f t="shared" si="4"/>
        <v>12.143814154631247</v>
      </c>
      <c r="E10">
        <f t="shared" si="4"/>
        <v>11.685698761972068</v>
      </c>
      <c r="F10">
        <f t="shared" si="4"/>
        <v>11.313708498984761</v>
      </c>
      <c r="G10">
        <f t="shared" si="4"/>
        <v>12.788884062167252</v>
      </c>
      <c r="H10">
        <f t="shared" si="4"/>
        <v>16.937794687883336</v>
      </c>
      <c r="I10">
        <f t="shared" si="4"/>
        <v>9.7296796795509497</v>
      </c>
      <c r="J10">
        <f t="shared" si="4"/>
        <v>14.313940369055926</v>
      </c>
      <c r="K10">
        <f t="shared" si="4"/>
        <v>13.646326326972481</v>
      </c>
      <c r="L10">
        <f t="shared" si="4"/>
        <v>3.3007148911814466</v>
      </c>
      <c r="M10">
        <f t="shared" si="4"/>
        <v>7.4535599249992996</v>
      </c>
      <c r="N10">
        <f t="shared" si="4"/>
        <v>5.5302200076790191</v>
      </c>
      <c r="O10">
        <f t="shared" si="4"/>
        <v>12.961587228585271</v>
      </c>
      <c r="P10">
        <f t="shared" si="4"/>
        <v>4.2314373123555846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Q10"/>
  <sheetViews>
    <sheetView workbookViewId="0">
      <selection activeCell="L2" sqref="L2"/>
    </sheetView>
  </sheetViews>
  <sheetFormatPr defaultRowHeight="15"/>
  <cols>
    <col min="1" max="1" width="13.42578125" bestFit="1" customWidth="1"/>
    <col min="2" max="10" width="7.7109375" customWidth="1"/>
    <col min="11" max="11" width="8.7109375" customWidth="1"/>
    <col min="12" max="12" width="14" customWidth="1"/>
    <col min="13" max="13" width="10.85546875" customWidth="1"/>
    <col min="14" max="14" width="7.42578125" customWidth="1"/>
    <col min="15" max="15" width="12.7109375" customWidth="1"/>
    <col min="16" max="16" width="17" customWidth="1"/>
    <col min="17" max="17" width="14.140625" customWidth="1"/>
  </cols>
  <sheetData>
    <row r="1" spans="1:17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38</v>
      </c>
      <c r="N1" t="s">
        <v>37</v>
      </c>
      <c r="O1" t="s">
        <v>14</v>
      </c>
      <c r="P1" t="s">
        <v>15</v>
      </c>
      <c r="Q1" t="s">
        <v>16</v>
      </c>
    </row>
    <row r="2" spans="1:17">
      <c r="A2" t="s">
        <v>20</v>
      </c>
      <c r="B2">
        <v>100</v>
      </c>
      <c r="C2">
        <v>98</v>
      </c>
      <c r="D2">
        <v>100</v>
      </c>
      <c r="E2">
        <v>67</v>
      </c>
      <c r="F2">
        <v>98</v>
      </c>
      <c r="G2">
        <v>59</v>
      </c>
      <c r="H2">
        <v>87</v>
      </c>
      <c r="I2">
        <v>81</v>
      </c>
      <c r="J2">
        <v>96</v>
      </c>
      <c r="K2">
        <v>84</v>
      </c>
      <c r="L2" s="1">
        <f>((SUM(B2:K2))-((SMALL(B2:K2,1))+(SMALL(B2:K2,2))))/8</f>
        <v>93</v>
      </c>
      <c r="M2">
        <v>100</v>
      </c>
      <c r="N2">
        <v>80</v>
      </c>
      <c r="O2" s="1">
        <f>SUM(L2:N2)</f>
        <v>273</v>
      </c>
      <c r="P2" s="1">
        <f>(L2*0.3)+(M2*0.2)+(N2*0.5)</f>
        <v>87.9</v>
      </c>
      <c r="Q2" t="str">
        <f>VLOOKUP(P2, 'Letter Grade Array'!$A$2:$B$102, 2, TRUE)</f>
        <v>B</v>
      </c>
    </row>
    <row r="3" spans="1:17">
      <c r="A3" t="s">
        <v>21</v>
      </c>
      <c r="B3">
        <v>86</v>
      </c>
      <c r="C3">
        <v>84</v>
      </c>
      <c r="D3">
        <v>82</v>
      </c>
      <c r="E3">
        <v>97</v>
      </c>
      <c r="F3">
        <v>98</v>
      </c>
      <c r="G3">
        <v>84</v>
      </c>
      <c r="H3">
        <v>51</v>
      </c>
      <c r="I3">
        <v>76</v>
      </c>
      <c r="J3">
        <v>94</v>
      </c>
      <c r="K3">
        <v>80</v>
      </c>
      <c r="L3" s="1">
        <f t="shared" ref="L3:L7" si="0">((SUM(B3:K3))-((SMALL(B3:K3,1))+(SMALL(B3:K3,2))))/8</f>
        <v>88.125</v>
      </c>
      <c r="M3">
        <v>90</v>
      </c>
      <c r="N3">
        <v>80</v>
      </c>
      <c r="O3" s="1">
        <f t="shared" ref="O3:O7" si="1">SUM(L3:N3)</f>
        <v>258.125</v>
      </c>
      <c r="P3" s="1">
        <f t="shared" ref="P3:P7" si="2">(L3*0.3)+(M3*0.2)+(N3*0.5)</f>
        <v>84.4375</v>
      </c>
      <c r="Q3" t="str">
        <f>VLOOKUP(P3, 'Letter Grade Array'!$A$2:$B$102, 2, TRUE)</f>
        <v>B</v>
      </c>
    </row>
    <row r="4" spans="1:17">
      <c r="A4" t="s">
        <v>22</v>
      </c>
      <c r="B4">
        <v>84</v>
      </c>
      <c r="C4">
        <v>100</v>
      </c>
      <c r="D4">
        <v>65</v>
      </c>
      <c r="E4">
        <v>80</v>
      </c>
      <c r="F4">
        <v>90</v>
      </c>
      <c r="G4">
        <v>93</v>
      </c>
      <c r="H4">
        <v>71</v>
      </c>
      <c r="I4">
        <v>75</v>
      </c>
      <c r="J4">
        <v>57</v>
      </c>
      <c r="K4">
        <v>50</v>
      </c>
      <c r="L4" s="1">
        <f t="shared" si="0"/>
        <v>82.25</v>
      </c>
      <c r="M4">
        <v>85</v>
      </c>
      <c r="N4">
        <v>75</v>
      </c>
      <c r="O4" s="1">
        <f t="shared" si="1"/>
        <v>242.25</v>
      </c>
      <c r="P4" s="1">
        <f t="shared" si="2"/>
        <v>79.174999999999997</v>
      </c>
      <c r="Q4" t="str">
        <f>VLOOKUP(P4, 'Letter Grade Array'!$A$2:$B$102, 2, TRUE)</f>
        <v>C</v>
      </c>
    </row>
    <row r="5" spans="1:17">
      <c r="A5" t="s">
        <v>23</v>
      </c>
      <c r="B5">
        <v>80</v>
      </c>
      <c r="C5">
        <v>82</v>
      </c>
      <c r="D5">
        <v>100</v>
      </c>
      <c r="E5">
        <v>97</v>
      </c>
      <c r="F5">
        <v>81</v>
      </c>
      <c r="G5">
        <v>80</v>
      </c>
      <c r="H5">
        <v>99</v>
      </c>
      <c r="I5">
        <v>95</v>
      </c>
      <c r="J5">
        <v>74</v>
      </c>
      <c r="K5">
        <v>70</v>
      </c>
      <c r="L5" s="1">
        <f t="shared" si="0"/>
        <v>89.25</v>
      </c>
      <c r="M5">
        <v>80</v>
      </c>
      <c r="N5">
        <v>76</v>
      </c>
      <c r="O5" s="1">
        <f t="shared" si="1"/>
        <v>245.25</v>
      </c>
      <c r="P5" s="1">
        <f t="shared" si="2"/>
        <v>80.775000000000006</v>
      </c>
      <c r="Q5" t="str">
        <f>VLOOKUP(P5, 'Letter Grade Array'!$A$2:$B$102, 2, TRUE)</f>
        <v>B</v>
      </c>
    </row>
    <row r="6" spans="1:17">
      <c r="A6" t="s">
        <v>24</v>
      </c>
      <c r="B6">
        <v>100</v>
      </c>
      <c r="C6">
        <v>82</v>
      </c>
      <c r="D6">
        <v>84</v>
      </c>
      <c r="E6">
        <v>85</v>
      </c>
      <c r="F6">
        <v>68</v>
      </c>
      <c r="G6">
        <v>100</v>
      </c>
      <c r="H6">
        <v>80</v>
      </c>
      <c r="I6">
        <v>70</v>
      </c>
      <c r="J6">
        <v>95</v>
      </c>
      <c r="K6">
        <v>62</v>
      </c>
      <c r="L6" s="1">
        <f t="shared" si="0"/>
        <v>87</v>
      </c>
      <c r="M6">
        <v>100</v>
      </c>
      <c r="N6">
        <v>80</v>
      </c>
      <c r="O6" s="1">
        <f t="shared" si="1"/>
        <v>267</v>
      </c>
      <c r="P6" s="1">
        <f t="shared" si="2"/>
        <v>86.1</v>
      </c>
      <c r="Q6" t="str">
        <f>VLOOKUP(P6, 'Letter Grade Array'!$A$2:$B$102, 2, TRUE)</f>
        <v>B</v>
      </c>
    </row>
    <row r="7" spans="1:17">
      <c r="A7" t="s">
        <v>25</v>
      </c>
      <c r="B7">
        <v>68</v>
      </c>
      <c r="C7">
        <v>58</v>
      </c>
      <c r="D7">
        <v>80</v>
      </c>
      <c r="E7">
        <v>100</v>
      </c>
      <c r="F7">
        <v>75</v>
      </c>
      <c r="G7">
        <v>86</v>
      </c>
      <c r="H7">
        <v>100</v>
      </c>
      <c r="I7">
        <v>95</v>
      </c>
      <c r="J7">
        <v>90</v>
      </c>
      <c r="K7">
        <v>90</v>
      </c>
      <c r="L7" s="1">
        <f t="shared" si="0"/>
        <v>89.5</v>
      </c>
      <c r="M7">
        <v>95</v>
      </c>
      <c r="N7">
        <v>92</v>
      </c>
      <c r="O7" s="1">
        <f t="shared" si="1"/>
        <v>276.5</v>
      </c>
      <c r="P7" s="1">
        <f t="shared" si="2"/>
        <v>91.85</v>
      </c>
      <c r="Q7" t="str">
        <f>VLOOKUP(P7, 'Letter Grade Array'!$A$2:$B$102, 2, TRUE)</f>
        <v>A</v>
      </c>
    </row>
    <row r="9" spans="1:17">
      <c r="A9" t="s">
        <v>18</v>
      </c>
      <c r="B9" s="1">
        <f>AVERAGE(B2:B7)</f>
        <v>86.333333333333329</v>
      </c>
      <c r="C9" s="1">
        <f t="shared" ref="C9:P9" si="3">AVERAGE(C2:C7)</f>
        <v>84</v>
      </c>
      <c r="D9" s="1">
        <f t="shared" si="3"/>
        <v>85.166666666666671</v>
      </c>
      <c r="E9" s="1">
        <f t="shared" si="3"/>
        <v>87.666666666666671</v>
      </c>
      <c r="F9" s="1">
        <f t="shared" si="3"/>
        <v>85</v>
      </c>
      <c r="G9" s="1">
        <f t="shared" si="3"/>
        <v>83.666666666666671</v>
      </c>
      <c r="H9" s="1">
        <f t="shared" si="3"/>
        <v>81.333333333333329</v>
      </c>
      <c r="I9" s="1">
        <f t="shared" si="3"/>
        <v>82</v>
      </c>
      <c r="J9" s="1">
        <f t="shared" si="3"/>
        <v>84.333333333333329</v>
      </c>
      <c r="K9" s="1">
        <f t="shared" si="3"/>
        <v>72.666666666666671</v>
      </c>
      <c r="L9" s="1">
        <f t="shared" si="3"/>
        <v>88.1875</v>
      </c>
      <c r="M9" s="1">
        <f t="shared" si="3"/>
        <v>91.666666666666671</v>
      </c>
      <c r="N9" s="1">
        <f t="shared" si="3"/>
        <v>80.5</v>
      </c>
      <c r="O9" s="1">
        <f t="shared" si="3"/>
        <v>260.35416666666669</v>
      </c>
      <c r="P9" s="1">
        <f t="shared" si="3"/>
        <v>85.03958333333334</v>
      </c>
      <c r="Q9" t="str">
        <f>VLOOKUP(P9, 'Letter Grade Array'!$A$2:$B$102, 2, TRUE)</f>
        <v>B</v>
      </c>
    </row>
    <row r="10" spans="1:17">
      <c r="A10" t="s">
        <v>19</v>
      </c>
      <c r="B10" s="1">
        <f>_xlfn.STDEV.P(B2:B7)</f>
        <v>11.220021786471223</v>
      </c>
      <c r="C10" s="1">
        <f t="shared" ref="C10:P10" si="4">_xlfn.STDEV.P(C2:C7)</f>
        <v>13.759844960366863</v>
      </c>
      <c r="D10" s="1">
        <f t="shared" si="4"/>
        <v>12.143814154631247</v>
      </c>
      <c r="E10" s="1">
        <f t="shared" si="4"/>
        <v>11.685698761972068</v>
      </c>
      <c r="F10" s="1">
        <f t="shared" si="4"/>
        <v>11.313708498984761</v>
      </c>
      <c r="G10" s="1">
        <f t="shared" si="4"/>
        <v>12.788884062167252</v>
      </c>
      <c r="H10" s="1">
        <f t="shared" si="4"/>
        <v>16.937794687883336</v>
      </c>
      <c r="I10" s="1">
        <f t="shared" si="4"/>
        <v>9.7296796795509497</v>
      </c>
      <c r="J10" s="1">
        <f t="shared" si="4"/>
        <v>14.313940369055926</v>
      </c>
      <c r="K10" s="1">
        <f t="shared" si="4"/>
        <v>13.646326326972481</v>
      </c>
      <c r="L10" s="1">
        <f t="shared" si="4"/>
        <v>3.2321223032758728</v>
      </c>
      <c r="M10" s="1">
        <f t="shared" si="4"/>
        <v>7.4535599249992996</v>
      </c>
      <c r="N10" s="1">
        <f t="shared" si="4"/>
        <v>5.5302200076790191</v>
      </c>
      <c r="O10" s="1">
        <f t="shared" si="4"/>
        <v>13.074389857231921</v>
      </c>
      <c r="P10" s="1">
        <f t="shared" si="4"/>
        <v>4.255011852868984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selection activeCell="G17" sqref="G17"/>
    </sheetView>
  </sheetViews>
  <sheetFormatPr defaultRowHeight="15"/>
  <cols>
    <col min="1" max="1" width="13.42578125" bestFit="1" customWidth="1"/>
    <col min="2" max="4" width="9.28515625" customWidth="1"/>
    <col min="5" max="5" width="7.42578125" customWidth="1"/>
    <col min="6" max="6" width="12.7109375" customWidth="1"/>
    <col min="7" max="7" width="17" customWidth="1"/>
    <col min="8" max="8" width="14.140625" customWidth="1"/>
  </cols>
  <sheetData>
    <row r="1" spans="1:8">
      <c r="A1" t="s">
        <v>0</v>
      </c>
      <c r="B1" t="s">
        <v>50</v>
      </c>
      <c r="C1" t="s">
        <v>51</v>
      </c>
      <c r="D1" t="s">
        <v>52</v>
      </c>
      <c r="E1" t="s">
        <v>37</v>
      </c>
      <c r="F1" t="s">
        <v>14</v>
      </c>
      <c r="G1" t="s">
        <v>15</v>
      </c>
      <c r="H1" t="s">
        <v>16</v>
      </c>
    </row>
    <row r="2" spans="1:8">
      <c r="A2" t="s">
        <v>20</v>
      </c>
      <c r="B2">
        <v>92</v>
      </c>
      <c r="C2">
        <v>89</v>
      </c>
      <c r="D2">
        <v>82</v>
      </c>
      <c r="E2">
        <v>95</v>
      </c>
      <c r="F2">
        <f>SUM(B2:E2)</f>
        <v>358</v>
      </c>
      <c r="G2" s="1">
        <f>IF((((E2*0.5)+((SUM(B2:D2)/3)*0.5))&gt;((E2/3)+(2*SUM(B2:D2)/9))),((E2*0.5)+((SUM(B2:D2)/3)*0.5)), ((E2/3)+(2*SUM(B2:D2)/9)))</f>
        <v>91.333333333333343</v>
      </c>
      <c r="H2" t="str">
        <f>VLOOKUP(G2, 'Letter Grade Array'!A2:B102, 2, TRUE)</f>
        <v>A</v>
      </c>
    </row>
    <row r="3" spans="1:8">
      <c r="A3" t="s">
        <v>21</v>
      </c>
      <c r="B3">
        <v>76</v>
      </c>
      <c r="C3">
        <v>85</v>
      </c>
      <c r="D3">
        <v>100</v>
      </c>
      <c r="E3">
        <v>97</v>
      </c>
      <c r="F3">
        <f t="shared" ref="F3:F7" si="0">SUM(B3:E3)</f>
        <v>358</v>
      </c>
      <c r="G3" s="1">
        <f t="shared" ref="G3:G7" si="1">IF((((E3*0.5)+((SUM(B3:D3)/3)*0.5))&gt;((E3/3)+(2*SUM(B3:D3)/9))),((E3*0.5)+((SUM(B3:D3)/3)*0.5)), ((E3/3)+(2*SUM(B3:D3)/9)))</f>
        <v>92</v>
      </c>
      <c r="H3" t="str">
        <f>VLOOKUP(G3, 'Letter Grade Array'!A3:B103, 2, TRUE)</f>
        <v>A</v>
      </c>
    </row>
    <row r="4" spans="1:8">
      <c r="A4" t="s">
        <v>22</v>
      </c>
      <c r="B4">
        <v>70</v>
      </c>
      <c r="C4">
        <v>82</v>
      </c>
      <c r="D4">
        <v>93</v>
      </c>
      <c r="E4">
        <v>70</v>
      </c>
      <c r="F4">
        <f t="shared" si="0"/>
        <v>315</v>
      </c>
      <c r="G4" s="1">
        <f t="shared" si="1"/>
        <v>77.777777777777771</v>
      </c>
      <c r="H4" t="str">
        <f>VLOOKUP(G4, 'Letter Grade Array'!A4:B104, 2, TRUE)</f>
        <v>C</v>
      </c>
    </row>
    <row r="5" spans="1:8">
      <c r="A5" t="s">
        <v>23</v>
      </c>
      <c r="B5">
        <v>88</v>
      </c>
      <c r="C5">
        <v>80</v>
      </c>
      <c r="D5">
        <v>96</v>
      </c>
      <c r="E5">
        <v>79</v>
      </c>
      <c r="F5">
        <f t="shared" si="0"/>
        <v>343</v>
      </c>
      <c r="G5" s="1">
        <f t="shared" si="1"/>
        <v>85</v>
      </c>
      <c r="H5" t="str">
        <f>VLOOKUP(G5, 'Letter Grade Array'!A5:B105, 2, TRUE)</f>
        <v>B</v>
      </c>
    </row>
    <row r="6" spans="1:8">
      <c r="A6" t="s">
        <v>24</v>
      </c>
      <c r="B6">
        <v>69</v>
      </c>
      <c r="C6">
        <v>96</v>
      </c>
      <c r="D6">
        <v>91</v>
      </c>
      <c r="E6">
        <v>100</v>
      </c>
      <c r="F6">
        <f t="shared" si="0"/>
        <v>356</v>
      </c>
      <c r="G6" s="1">
        <f t="shared" si="1"/>
        <v>92.666666666666657</v>
      </c>
      <c r="H6" t="str">
        <f>VLOOKUP(G6, 'Letter Grade Array'!A6:B106, 2, TRUE)</f>
        <v>A</v>
      </c>
    </row>
    <row r="7" spans="1:8">
      <c r="A7" t="s">
        <v>25</v>
      </c>
      <c r="B7">
        <v>90</v>
      </c>
      <c r="C7">
        <v>98</v>
      </c>
      <c r="D7">
        <v>75</v>
      </c>
      <c r="E7">
        <v>95</v>
      </c>
      <c r="F7">
        <f t="shared" si="0"/>
        <v>358</v>
      </c>
      <c r="G7" s="1">
        <f t="shared" si="1"/>
        <v>91.333333333333343</v>
      </c>
      <c r="H7" t="str">
        <f>VLOOKUP(G7, 'Letter Grade Array'!A7:B107, 2, TRUE)</f>
        <v>A</v>
      </c>
    </row>
    <row r="9" spans="1:8">
      <c r="A9" t="s">
        <v>18</v>
      </c>
      <c r="B9" s="1">
        <f>AVERAGE(B2:B7)</f>
        <v>80.833333333333329</v>
      </c>
      <c r="C9" s="1">
        <f t="shared" ref="C9:G9" si="2">AVERAGE(C2:C7)</f>
        <v>88.333333333333329</v>
      </c>
      <c r="D9" s="1">
        <f t="shared" si="2"/>
        <v>89.5</v>
      </c>
      <c r="E9" s="1">
        <f t="shared" si="2"/>
        <v>89.333333333333329</v>
      </c>
      <c r="F9" s="1">
        <f t="shared" si="2"/>
        <v>348</v>
      </c>
      <c r="G9" s="1">
        <f t="shared" si="2"/>
        <v>88.351851851851848</v>
      </c>
      <c r="H9" t="str">
        <f>VLOOKUP(G9, 'Letter Grade Array'!A9:B109, 2, TRUE)</f>
        <v>B</v>
      </c>
    </row>
    <row r="10" spans="1:8">
      <c r="A10" t="s">
        <v>19</v>
      </c>
      <c r="B10" s="1">
        <f>_xlfn.STDEV.P(B2:B7)</f>
        <v>9.4941502457507418</v>
      </c>
      <c r="C10" s="1">
        <f t="shared" ref="C10:G10" si="3">_xlfn.STDEV.P(C2:C7)</f>
        <v>6.7494855771055295</v>
      </c>
      <c r="D10" s="1">
        <f t="shared" si="3"/>
        <v>8.5</v>
      </c>
      <c r="E10" s="1">
        <f t="shared" si="3"/>
        <v>10.934146311237816</v>
      </c>
      <c r="F10" s="1">
        <f t="shared" si="3"/>
        <v>15.695009822658072</v>
      </c>
      <c r="G10" s="1">
        <f t="shared" si="3"/>
        <v>5.3658026551887605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A1" t="s">
        <v>26</v>
      </c>
      <c r="B1" t="s">
        <v>27</v>
      </c>
    </row>
    <row r="2" spans="1:2">
      <c r="A2">
        <v>0</v>
      </c>
      <c r="B2" t="s">
        <v>32</v>
      </c>
    </row>
    <row r="3" spans="1:2">
      <c r="A3">
        <v>1</v>
      </c>
      <c r="B3" t="s">
        <v>32</v>
      </c>
    </row>
    <row r="4" spans="1:2">
      <c r="A4">
        <v>2</v>
      </c>
      <c r="B4" t="s">
        <v>32</v>
      </c>
    </row>
    <row r="5" spans="1:2">
      <c r="A5">
        <v>3</v>
      </c>
      <c r="B5" t="s">
        <v>32</v>
      </c>
    </row>
    <row r="6" spans="1:2">
      <c r="A6">
        <v>4</v>
      </c>
      <c r="B6" t="s">
        <v>32</v>
      </c>
    </row>
    <row r="7" spans="1:2">
      <c r="A7">
        <v>5</v>
      </c>
      <c r="B7" t="s">
        <v>32</v>
      </c>
    </row>
    <row r="8" spans="1:2">
      <c r="A8">
        <v>6</v>
      </c>
      <c r="B8" t="s">
        <v>32</v>
      </c>
    </row>
    <row r="9" spans="1:2">
      <c r="A9">
        <v>7</v>
      </c>
      <c r="B9" t="s">
        <v>32</v>
      </c>
    </row>
    <row r="10" spans="1:2">
      <c r="A10">
        <v>8</v>
      </c>
      <c r="B10" t="s">
        <v>32</v>
      </c>
    </row>
    <row r="11" spans="1:2">
      <c r="A11">
        <v>9</v>
      </c>
      <c r="B11" t="s">
        <v>32</v>
      </c>
    </row>
    <row r="12" spans="1:2">
      <c r="A12">
        <v>10</v>
      </c>
      <c r="B12" t="s">
        <v>32</v>
      </c>
    </row>
    <row r="13" spans="1:2">
      <c r="A13">
        <v>11</v>
      </c>
      <c r="B13" t="s">
        <v>32</v>
      </c>
    </row>
    <row r="14" spans="1:2">
      <c r="A14">
        <v>12</v>
      </c>
      <c r="B14" t="s">
        <v>32</v>
      </c>
    </row>
    <row r="15" spans="1:2">
      <c r="A15">
        <v>13</v>
      </c>
      <c r="B15" t="s">
        <v>32</v>
      </c>
    </row>
    <row r="16" spans="1:2">
      <c r="A16">
        <v>14</v>
      </c>
      <c r="B16" t="s">
        <v>32</v>
      </c>
    </row>
    <row r="17" spans="1:2">
      <c r="A17">
        <v>15</v>
      </c>
      <c r="B17" t="s">
        <v>32</v>
      </c>
    </row>
    <row r="18" spans="1:2">
      <c r="A18">
        <v>16</v>
      </c>
      <c r="B18" t="s">
        <v>32</v>
      </c>
    </row>
    <row r="19" spans="1:2">
      <c r="A19">
        <v>17</v>
      </c>
      <c r="B19" t="s">
        <v>32</v>
      </c>
    </row>
    <row r="20" spans="1:2">
      <c r="A20">
        <v>18</v>
      </c>
      <c r="B20" t="s">
        <v>32</v>
      </c>
    </row>
    <row r="21" spans="1:2">
      <c r="A21">
        <v>19</v>
      </c>
      <c r="B21" t="s">
        <v>32</v>
      </c>
    </row>
    <row r="22" spans="1:2">
      <c r="A22">
        <v>20</v>
      </c>
      <c r="B22" t="s">
        <v>32</v>
      </c>
    </row>
    <row r="23" spans="1:2">
      <c r="A23">
        <v>21</v>
      </c>
      <c r="B23" t="s">
        <v>32</v>
      </c>
    </row>
    <row r="24" spans="1:2">
      <c r="A24">
        <v>22</v>
      </c>
      <c r="B24" t="s">
        <v>32</v>
      </c>
    </row>
    <row r="25" spans="1:2">
      <c r="A25">
        <v>23</v>
      </c>
      <c r="B25" t="s">
        <v>32</v>
      </c>
    </row>
    <row r="26" spans="1:2">
      <c r="A26">
        <v>24</v>
      </c>
      <c r="B26" t="s">
        <v>32</v>
      </c>
    </row>
    <row r="27" spans="1:2">
      <c r="A27">
        <v>25</v>
      </c>
      <c r="B27" t="s">
        <v>32</v>
      </c>
    </row>
    <row r="28" spans="1:2">
      <c r="A28">
        <v>26</v>
      </c>
      <c r="B28" t="s">
        <v>32</v>
      </c>
    </row>
    <row r="29" spans="1:2">
      <c r="A29">
        <v>27</v>
      </c>
      <c r="B29" t="s">
        <v>32</v>
      </c>
    </row>
    <row r="30" spans="1:2">
      <c r="A30">
        <v>28</v>
      </c>
      <c r="B30" t="s">
        <v>32</v>
      </c>
    </row>
    <row r="31" spans="1:2">
      <c r="A31">
        <v>29</v>
      </c>
      <c r="B31" t="s">
        <v>32</v>
      </c>
    </row>
    <row r="32" spans="1:2">
      <c r="A32">
        <v>30</v>
      </c>
      <c r="B32" t="s">
        <v>32</v>
      </c>
    </row>
    <row r="33" spans="1:2">
      <c r="A33">
        <v>31</v>
      </c>
      <c r="B33" t="s">
        <v>32</v>
      </c>
    </row>
    <row r="34" spans="1:2">
      <c r="A34">
        <v>32</v>
      </c>
      <c r="B34" t="s">
        <v>32</v>
      </c>
    </row>
    <row r="35" spans="1:2">
      <c r="A35">
        <v>33</v>
      </c>
      <c r="B35" t="s">
        <v>32</v>
      </c>
    </row>
    <row r="36" spans="1:2">
      <c r="A36">
        <v>34</v>
      </c>
      <c r="B36" t="s">
        <v>32</v>
      </c>
    </row>
    <row r="37" spans="1:2">
      <c r="A37">
        <v>35</v>
      </c>
      <c r="B37" t="s">
        <v>32</v>
      </c>
    </row>
    <row r="38" spans="1:2">
      <c r="A38">
        <v>36</v>
      </c>
      <c r="B38" t="s">
        <v>32</v>
      </c>
    </row>
    <row r="39" spans="1:2">
      <c r="A39">
        <v>37</v>
      </c>
      <c r="B39" t="s">
        <v>32</v>
      </c>
    </row>
    <row r="40" spans="1:2">
      <c r="A40">
        <v>38</v>
      </c>
      <c r="B40" t="s">
        <v>32</v>
      </c>
    </row>
    <row r="41" spans="1:2">
      <c r="A41">
        <v>39</v>
      </c>
      <c r="B41" t="s">
        <v>32</v>
      </c>
    </row>
    <row r="42" spans="1:2">
      <c r="A42">
        <v>40</v>
      </c>
      <c r="B42" t="s">
        <v>32</v>
      </c>
    </row>
    <row r="43" spans="1:2">
      <c r="A43">
        <v>41</v>
      </c>
      <c r="B43" t="s">
        <v>32</v>
      </c>
    </row>
    <row r="44" spans="1:2">
      <c r="A44">
        <v>42</v>
      </c>
      <c r="B44" t="s">
        <v>32</v>
      </c>
    </row>
    <row r="45" spans="1:2">
      <c r="A45">
        <v>43</v>
      </c>
      <c r="B45" t="s">
        <v>32</v>
      </c>
    </row>
    <row r="46" spans="1:2">
      <c r="A46">
        <v>44</v>
      </c>
      <c r="B46" t="s">
        <v>32</v>
      </c>
    </row>
    <row r="47" spans="1:2">
      <c r="A47">
        <v>45</v>
      </c>
      <c r="B47" t="s">
        <v>32</v>
      </c>
    </row>
    <row r="48" spans="1:2">
      <c r="A48">
        <v>46</v>
      </c>
      <c r="B48" t="s">
        <v>32</v>
      </c>
    </row>
    <row r="49" spans="1:2">
      <c r="A49">
        <v>47</v>
      </c>
      <c r="B49" t="s">
        <v>32</v>
      </c>
    </row>
    <row r="50" spans="1:2">
      <c r="A50">
        <v>48</v>
      </c>
      <c r="B50" t="s">
        <v>32</v>
      </c>
    </row>
    <row r="51" spans="1:2">
      <c r="A51">
        <v>49</v>
      </c>
      <c r="B51" t="s">
        <v>32</v>
      </c>
    </row>
    <row r="52" spans="1:2">
      <c r="A52">
        <v>50</v>
      </c>
      <c r="B52" t="s">
        <v>32</v>
      </c>
    </row>
    <row r="53" spans="1:2">
      <c r="A53">
        <v>51</v>
      </c>
      <c r="B53" t="s">
        <v>32</v>
      </c>
    </row>
    <row r="54" spans="1:2">
      <c r="A54">
        <v>52</v>
      </c>
      <c r="B54" t="s">
        <v>32</v>
      </c>
    </row>
    <row r="55" spans="1:2">
      <c r="A55">
        <v>53</v>
      </c>
      <c r="B55" t="s">
        <v>32</v>
      </c>
    </row>
    <row r="56" spans="1:2">
      <c r="A56">
        <v>54</v>
      </c>
      <c r="B56" t="s">
        <v>32</v>
      </c>
    </row>
    <row r="57" spans="1:2">
      <c r="A57">
        <v>55</v>
      </c>
      <c r="B57" t="s">
        <v>32</v>
      </c>
    </row>
    <row r="58" spans="1:2">
      <c r="A58">
        <v>56</v>
      </c>
      <c r="B58" t="s">
        <v>32</v>
      </c>
    </row>
    <row r="59" spans="1:2">
      <c r="A59">
        <v>57</v>
      </c>
      <c r="B59" t="s">
        <v>32</v>
      </c>
    </row>
    <row r="60" spans="1:2">
      <c r="A60">
        <v>58</v>
      </c>
      <c r="B60" t="s">
        <v>32</v>
      </c>
    </row>
    <row r="61" spans="1:2">
      <c r="A61">
        <v>59</v>
      </c>
      <c r="B61" t="s">
        <v>32</v>
      </c>
    </row>
    <row r="62" spans="1:2">
      <c r="A62">
        <v>60</v>
      </c>
      <c r="B62" t="s">
        <v>31</v>
      </c>
    </row>
    <row r="63" spans="1:2">
      <c r="A63">
        <v>61</v>
      </c>
      <c r="B63" t="s">
        <v>31</v>
      </c>
    </row>
    <row r="64" spans="1:2">
      <c r="A64">
        <v>62</v>
      </c>
      <c r="B64" t="s">
        <v>31</v>
      </c>
    </row>
    <row r="65" spans="1:2">
      <c r="A65">
        <v>63</v>
      </c>
      <c r="B65" t="s">
        <v>31</v>
      </c>
    </row>
    <row r="66" spans="1:2">
      <c r="A66">
        <v>64</v>
      </c>
      <c r="B66" t="s">
        <v>31</v>
      </c>
    </row>
    <row r="67" spans="1:2">
      <c r="A67">
        <v>65</v>
      </c>
      <c r="B67" t="s">
        <v>31</v>
      </c>
    </row>
    <row r="68" spans="1:2">
      <c r="A68">
        <v>66</v>
      </c>
      <c r="B68" t="s">
        <v>31</v>
      </c>
    </row>
    <row r="69" spans="1:2">
      <c r="A69">
        <v>67</v>
      </c>
      <c r="B69" t="s">
        <v>31</v>
      </c>
    </row>
    <row r="70" spans="1:2">
      <c r="A70">
        <v>68</v>
      </c>
      <c r="B70" t="s">
        <v>31</v>
      </c>
    </row>
    <row r="71" spans="1:2">
      <c r="A71">
        <v>69</v>
      </c>
      <c r="B71" t="s">
        <v>31</v>
      </c>
    </row>
    <row r="72" spans="1:2">
      <c r="A72">
        <v>70</v>
      </c>
      <c r="B72" t="s">
        <v>30</v>
      </c>
    </row>
    <row r="73" spans="1:2">
      <c r="A73">
        <v>71</v>
      </c>
      <c r="B73" t="s">
        <v>30</v>
      </c>
    </row>
    <row r="74" spans="1:2">
      <c r="A74">
        <v>72</v>
      </c>
      <c r="B74" t="s">
        <v>30</v>
      </c>
    </row>
    <row r="75" spans="1:2">
      <c r="A75">
        <v>73</v>
      </c>
      <c r="B75" t="s">
        <v>30</v>
      </c>
    </row>
    <row r="76" spans="1:2">
      <c r="A76">
        <v>74</v>
      </c>
      <c r="B76" t="s">
        <v>30</v>
      </c>
    </row>
    <row r="77" spans="1:2">
      <c r="A77">
        <v>75</v>
      </c>
      <c r="B77" t="s">
        <v>30</v>
      </c>
    </row>
    <row r="78" spans="1:2">
      <c r="A78">
        <v>76</v>
      </c>
      <c r="B78" t="s">
        <v>30</v>
      </c>
    </row>
    <row r="79" spans="1:2">
      <c r="A79">
        <v>77</v>
      </c>
      <c r="B79" t="s">
        <v>30</v>
      </c>
    </row>
    <row r="80" spans="1:2">
      <c r="A80">
        <v>78</v>
      </c>
      <c r="B80" t="s">
        <v>30</v>
      </c>
    </row>
    <row r="81" spans="1:2">
      <c r="A81">
        <v>79</v>
      </c>
      <c r="B81" t="s">
        <v>30</v>
      </c>
    </row>
    <row r="82" spans="1:2">
      <c r="A82">
        <v>80</v>
      </c>
      <c r="B82" t="s">
        <v>29</v>
      </c>
    </row>
    <row r="83" spans="1:2">
      <c r="A83">
        <v>81</v>
      </c>
      <c r="B83" t="s">
        <v>29</v>
      </c>
    </row>
    <row r="84" spans="1:2">
      <c r="A84">
        <v>82</v>
      </c>
      <c r="B84" t="s">
        <v>29</v>
      </c>
    </row>
    <row r="85" spans="1:2">
      <c r="A85">
        <v>83</v>
      </c>
      <c r="B85" t="s">
        <v>29</v>
      </c>
    </row>
    <row r="86" spans="1:2">
      <c r="A86">
        <v>84</v>
      </c>
      <c r="B86" t="s">
        <v>29</v>
      </c>
    </row>
    <row r="87" spans="1:2">
      <c r="A87">
        <v>85</v>
      </c>
      <c r="B87" t="s">
        <v>29</v>
      </c>
    </row>
    <row r="88" spans="1:2">
      <c r="A88">
        <v>86</v>
      </c>
      <c r="B88" t="s">
        <v>29</v>
      </c>
    </row>
    <row r="89" spans="1:2">
      <c r="A89">
        <v>87</v>
      </c>
      <c r="B89" t="s">
        <v>29</v>
      </c>
    </row>
    <row r="90" spans="1:2">
      <c r="A90">
        <v>88</v>
      </c>
      <c r="B90" t="s">
        <v>29</v>
      </c>
    </row>
    <row r="91" spans="1:2">
      <c r="A91">
        <v>89</v>
      </c>
      <c r="B91" t="s">
        <v>29</v>
      </c>
    </row>
    <row r="92" spans="1:2">
      <c r="A92">
        <v>90</v>
      </c>
      <c r="B92" t="s">
        <v>28</v>
      </c>
    </row>
    <row r="93" spans="1:2">
      <c r="A93">
        <v>91</v>
      </c>
      <c r="B93" t="s">
        <v>28</v>
      </c>
    </row>
    <row r="94" spans="1:2">
      <c r="A94">
        <v>92</v>
      </c>
      <c r="B94" t="s">
        <v>28</v>
      </c>
    </row>
    <row r="95" spans="1:2">
      <c r="A95">
        <v>93</v>
      </c>
      <c r="B95" t="s">
        <v>28</v>
      </c>
    </row>
    <row r="96" spans="1:2">
      <c r="A96">
        <v>94</v>
      </c>
      <c r="B96" t="s">
        <v>28</v>
      </c>
    </row>
    <row r="97" spans="1:2">
      <c r="A97">
        <v>95</v>
      </c>
      <c r="B97" t="s">
        <v>28</v>
      </c>
    </row>
    <row r="98" spans="1:2">
      <c r="A98">
        <v>96</v>
      </c>
      <c r="B98" t="s">
        <v>28</v>
      </c>
    </row>
    <row r="99" spans="1:2">
      <c r="A99">
        <v>97</v>
      </c>
      <c r="B99" t="s">
        <v>28</v>
      </c>
    </row>
    <row r="100" spans="1:2">
      <c r="A100">
        <v>98</v>
      </c>
      <c r="B100" t="s">
        <v>28</v>
      </c>
    </row>
    <row r="101" spans="1:2">
      <c r="A101">
        <v>99</v>
      </c>
      <c r="B101" t="s">
        <v>28</v>
      </c>
    </row>
    <row r="102" spans="1:2">
      <c r="A102">
        <v>100</v>
      </c>
      <c r="B10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Scenario 1</vt:lpstr>
      <vt:lpstr>Scenario 2</vt:lpstr>
      <vt:lpstr>Scenario 3</vt:lpstr>
      <vt:lpstr>Scenario 4</vt:lpstr>
      <vt:lpstr>Scenario 5</vt:lpstr>
      <vt:lpstr>Scenario 6</vt:lpstr>
      <vt:lpstr>Letter Grade Array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Luna</dc:creator>
  <cp:lastModifiedBy>Kent Pearce</cp:lastModifiedBy>
  <dcterms:created xsi:type="dcterms:W3CDTF">2011-10-04T19:36:47Z</dcterms:created>
  <dcterms:modified xsi:type="dcterms:W3CDTF">2011-10-27T20:32:50Z</dcterms:modified>
</cp:coreProperties>
</file>