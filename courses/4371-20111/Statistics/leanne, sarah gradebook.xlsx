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480" yWindow="75" windowWidth="18195" windowHeight="11820"/>
  </bookViews>
  <sheets>
    <sheet name="Sheet1." sheetId="2" r:id="rId1"/>
    <sheet name="Sheet2" sheetId="1" r:id="rId2"/>
    <sheet name="Sheet3" sheetId="3" r:id="rId3"/>
    <sheet name="Sheet4" sheetId="4" r:id="rId4"/>
    <sheet name="Sheet5" sheetId="5" r:id="rId5"/>
    <sheet name="Sheet6" sheetId="6" r:id="rId6"/>
  </sheets>
  <calcPr calcId="125725"/>
</workbook>
</file>

<file path=xl/calcChain.xml><?xml version="1.0" encoding="utf-8"?>
<calcChain xmlns="http://schemas.openxmlformats.org/spreadsheetml/2006/main">
  <c r="Q8" i="2"/>
  <c r="Q7"/>
  <c r="Q6"/>
  <c r="Q5"/>
  <c r="Q4"/>
  <c r="Q3"/>
  <c r="P8"/>
  <c r="P7"/>
  <c r="P6"/>
  <c r="P5"/>
  <c r="P4"/>
  <c r="P3"/>
  <c r="H10" i="6"/>
  <c r="I10" s="1"/>
  <c r="H9"/>
  <c r="I9" s="1"/>
  <c r="H8"/>
  <c r="H7"/>
  <c r="I7" s="1"/>
  <c r="H6"/>
  <c r="H5"/>
  <c r="I5" s="1"/>
  <c r="H4"/>
  <c r="I8"/>
  <c r="I6"/>
  <c r="I4"/>
  <c r="F3"/>
  <c r="F2"/>
  <c r="F11"/>
  <c r="F10"/>
  <c r="F9"/>
  <c r="F8"/>
  <c r="F7"/>
  <c r="F6"/>
  <c r="F5"/>
  <c r="F4"/>
  <c r="B3"/>
  <c r="G11"/>
  <c r="G10"/>
  <c r="E11"/>
  <c r="E10"/>
  <c r="D11"/>
  <c r="D10"/>
  <c r="C11"/>
  <c r="C10"/>
  <c r="B11"/>
  <c r="B10"/>
  <c r="Q8" i="5"/>
  <c r="Q7"/>
  <c r="Q6"/>
  <c r="Q5"/>
  <c r="Q4"/>
  <c r="Q3"/>
  <c r="P8"/>
  <c r="P7"/>
  <c r="P6"/>
  <c r="P5"/>
  <c r="P10" s="1"/>
  <c r="P4"/>
  <c r="P3"/>
  <c r="L10"/>
  <c r="L9"/>
  <c r="L8"/>
  <c r="L7"/>
  <c r="L6"/>
  <c r="L5"/>
  <c r="L4"/>
  <c r="L3"/>
  <c r="O8"/>
  <c r="O7"/>
  <c r="O6"/>
  <c r="O5"/>
  <c r="O4"/>
  <c r="O3"/>
  <c r="O9" s="1"/>
  <c r="O8" i="4"/>
  <c r="O7"/>
  <c r="O6"/>
  <c r="O5"/>
  <c r="O4"/>
  <c r="O3"/>
  <c r="N10" i="5"/>
  <c r="M10"/>
  <c r="K10"/>
  <c r="J10"/>
  <c r="I10"/>
  <c r="H10"/>
  <c r="G10"/>
  <c r="F10"/>
  <c r="E10"/>
  <c r="D10"/>
  <c r="C10"/>
  <c r="P9"/>
  <c r="N9"/>
  <c r="M9"/>
  <c r="K9"/>
  <c r="J9"/>
  <c r="I9"/>
  <c r="H9"/>
  <c r="G9"/>
  <c r="F9"/>
  <c r="E9"/>
  <c r="D9"/>
  <c r="C9"/>
  <c r="B9"/>
  <c r="B10"/>
  <c r="P8" i="4"/>
  <c r="P7"/>
  <c r="P6"/>
  <c r="P5"/>
  <c r="P4"/>
  <c r="P3"/>
  <c r="L10"/>
  <c r="L9"/>
  <c r="L8"/>
  <c r="L7"/>
  <c r="L6"/>
  <c r="L5"/>
  <c r="L4"/>
  <c r="L3"/>
  <c r="Q8"/>
  <c r="Q7"/>
  <c r="Q6"/>
  <c r="Q5"/>
  <c r="Q4"/>
  <c r="Q3"/>
  <c r="P10"/>
  <c r="P9"/>
  <c r="Q9" s="1"/>
  <c r="N10"/>
  <c r="N9"/>
  <c r="M10"/>
  <c r="M9"/>
  <c r="K10"/>
  <c r="K9"/>
  <c r="J10"/>
  <c r="J9"/>
  <c r="I10"/>
  <c r="I9"/>
  <c r="H10"/>
  <c r="H9"/>
  <c r="G10"/>
  <c r="G9"/>
  <c r="F10"/>
  <c r="F9"/>
  <c r="E10"/>
  <c r="E9"/>
  <c r="D10"/>
  <c r="D9"/>
  <c r="C10"/>
  <c r="C9"/>
  <c r="B9"/>
  <c r="B10"/>
  <c r="F8" i="3"/>
  <c r="F7"/>
  <c r="F6"/>
  <c r="F5"/>
  <c r="F4"/>
  <c r="F3"/>
  <c r="F10"/>
  <c r="F9"/>
  <c r="E10"/>
  <c r="E9"/>
  <c r="D10"/>
  <c r="D9"/>
  <c r="C10"/>
  <c r="C9"/>
  <c r="E8"/>
  <c r="E7"/>
  <c r="E6"/>
  <c r="E5"/>
  <c r="E4"/>
  <c r="E3"/>
  <c r="B10"/>
  <c r="B9"/>
  <c r="I9" i="1"/>
  <c r="H8"/>
  <c r="I8" s="1"/>
  <c r="H7"/>
  <c r="I7" s="1"/>
  <c r="H6"/>
  <c r="I6" s="1"/>
  <c r="H5"/>
  <c r="I5" s="1"/>
  <c r="H4"/>
  <c r="I4" s="1"/>
  <c r="I3"/>
  <c r="H3"/>
  <c r="R8" i="2"/>
  <c r="R7"/>
  <c r="R6"/>
  <c r="R5"/>
  <c r="R4"/>
  <c r="R3"/>
  <c r="Q10"/>
  <c r="Q9"/>
  <c r="R9" s="1"/>
  <c r="P10"/>
  <c r="P9"/>
  <c r="H10" i="1"/>
  <c r="G10"/>
  <c r="G9"/>
  <c r="F10"/>
  <c r="F9"/>
  <c r="E10"/>
  <c r="E9"/>
  <c r="D10"/>
  <c r="D9"/>
  <c r="C10"/>
  <c r="C9"/>
  <c r="B10"/>
  <c r="B9"/>
  <c r="O10" i="2"/>
  <c r="N10"/>
  <c r="M10"/>
  <c r="L10"/>
  <c r="K10"/>
  <c r="J10"/>
  <c r="I10"/>
  <c r="H10"/>
  <c r="G10"/>
  <c r="F10"/>
  <c r="E10"/>
  <c r="D10"/>
  <c r="C10"/>
  <c r="O9"/>
  <c r="N9"/>
  <c r="M9"/>
  <c r="L9"/>
  <c r="K9"/>
  <c r="J9"/>
  <c r="I9"/>
  <c r="H9"/>
  <c r="G9"/>
  <c r="F9"/>
  <c r="E9"/>
  <c r="D9"/>
  <c r="C9"/>
  <c r="B10"/>
  <c r="B9"/>
  <c r="G4" i="1"/>
  <c r="G5"/>
  <c r="G6"/>
  <c r="G7"/>
  <c r="G8"/>
  <c r="G3"/>
  <c r="G5" i="6"/>
  <c r="G6"/>
  <c r="G7"/>
  <c r="G8"/>
  <c r="G9"/>
  <c r="G4"/>
  <c r="H11" l="1"/>
  <c r="O10" i="5"/>
  <c r="O9" i="4"/>
  <c r="O10"/>
  <c r="H9" i="1"/>
  <c r="G8" i="3" l="1"/>
  <c r="G6"/>
  <c r="G4"/>
  <c r="G7"/>
  <c r="G3"/>
  <c r="G5"/>
  <c r="G9"/>
</calcChain>
</file>

<file path=xl/sharedStrings.xml><?xml version="1.0" encoding="utf-8"?>
<sst xmlns="http://schemas.openxmlformats.org/spreadsheetml/2006/main" count="169" uniqueCount="68">
  <si>
    <t>Bobby</t>
  </si>
  <si>
    <t>Test 2</t>
  </si>
  <si>
    <t>Test 3</t>
  </si>
  <si>
    <t xml:space="preserve">Final </t>
  </si>
  <si>
    <t>Amber</t>
  </si>
  <si>
    <t>Sam</t>
  </si>
  <si>
    <t>Matt</t>
  </si>
  <si>
    <t>Fred</t>
  </si>
  <si>
    <t>Molly</t>
  </si>
  <si>
    <t>lab 4</t>
  </si>
  <si>
    <t>Lab 5</t>
  </si>
  <si>
    <t>Lab 6</t>
  </si>
  <si>
    <t>Lab 7</t>
  </si>
  <si>
    <t>Lab 8</t>
  </si>
  <si>
    <t>Lab 9</t>
  </si>
  <si>
    <t>historical project</t>
  </si>
  <si>
    <t>Statistics Project</t>
  </si>
  <si>
    <t>final Project</t>
  </si>
  <si>
    <t>Mid-term 100</t>
  </si>
  <si>
    <t>Final 100</t>
  </si>
  <si>
    <t xml:space="preserve">Lab 1 50 </t>
  </si>
  <si>
    <t xml:space="preserve">Lab 2 50 </t>
  </si>
  <si>
    <t xml:space="preserve">Lab 3 50 </t>
  </si>
  <si>
    <t>Mid term 25%</t>
  </si>
  <si>
    <t>Homework 25%</t>
  </si>
  <si>
    <t xml:space="preserve">Final 50% </t>
  </si>
  <si>
    <t>Test 1 (20%)</t>
  </si>
  <si>
    <t>Homework (15%)</t>
  </si>
  <si>
    <t>Final (25%)</t>
  </si>
  <si>
    <t>Homework 1</t>
  </si>
  <si>
    <t>Homework 2</t>
  </si>
  <si>
    <t>Homework 3</t>
  </si>
  <si>
    <t>Homework 4</t>
  </si>
  <si>
    <t>Homework 5</t>
  </si>
  <si>
    <t>Homework 6</t>
  </si>
  <si>
    <t>Homework 7</t>
  </si>
  <si>
    <t>Homework 8</t>
  </si>
  <si>
    <t>Homework 9</t>
  </si>
  <si>
    <t xml:space="preserve">Homework 10 </t>
  </si>
  <si>
    <t xml:space="preserve">Mid Term 20 % </t>
  </si>
  <si>
    <t>Final 50%</t>
  </si>
  <si>
    <t>Exam 1</t>
  </si>
  <si>
    <t>Exam 2</t>
  </si>
  <si>
    <t>Exam 3</t>
  </si>
  <si>
    <t>average</t>
  </si>
  <si>
    <t>letter grade</t>
  </si>
  <si>
    <t>Points Total</t>
  </si>
  <si>
    <t>Average</t>
  </si>
  <si>
    <t>Letter Grade</t>
  </si>
  <si>
    <t xml:space="preserve">Points Toatal </t>
  </si>
  <si>
    <t>Points total</t>
  </si>
  <si>
    <t>letter Grade</t>
  </si>
  <si>
    <t>Mean</t>
  </si>
  <si>
    <t>Std. Dev.</t>
  </si>
  <si>
    <t>Grade</t>
  </si>
  <si>
    <t>%</t>
  </si>
  <si>
    <t>F</t>
  </si>
  <si>
    <t>D</t>
  </si>
  <si>
    <t>C</t>
  </si>
  <si>
    <t>B</t>
  </si>
  <si>
    <t>A</t>
  </si>
  <si>
    <t>Weighting</t>
  </si>
  <si>
    <t>Homework Total</t>
  </si>
  <si>
    <t>Weighting A</t>
  </si>
  <si>
    <t>Weighting B</t>
  </si>
  <si>
    <t>Exam Average</t>
  </si>
  <si>
    <t>red calculations missing</t>
  </si>
  <si>
    <t>52/54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</si>
</sst>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0.0"/>
    <numFmt numFmtId="165" formatCode="_(* #,##0_);_(* \(#,##0\);_(* &quot;-&quot;??_);_(@_)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9" fontId="0" fillId="0" borderId="0" xfId="0" applyNumberFormat="1"/>
    <xf numFmtId="164" fontId="0" fillId="0" borderId="0" xfId="0" applyNumberFormat="1"/>
    <xf numFmtId="164" fontId="2" fillId="0" borderId="0" xfId="0" applyNumberFormat="1" applyFont="1"/>
    <xf numFmtId="0" fontId="0" fillId="0" borderId="1" xfId="0" applyBorder="1"/>
    <xf numFmtId="9" fontId="0" fillId="0" borderId="0" xfId="2" applyFont="1"/>
    <xf numFmtId="0" fontId="0" fillId="0" borderId="2" xfId="0" applyBorder="1"/>
    <xf numFmtId="9" fontId="0" fillId="0" borderId="2" xfId="0" applyNumberFormat="1" applyBorder="1"/>
    <xf numFmtId="9" fontId="0" fillId="0" borderId="1" xfId="2" applyFont="1" applyBorder="1"/>
    <xf numFmtId="9" fontId="2" fillId="0" borderId="0" xfId="2" applyFont="1"/>
    <xf numFmtId="165" fontId="0" fillId="0" borderId="0" xfId="1" applyNumberFormat="1" applyFont="1"/>
    <xf numFmtId="165" fontId="0" fillId="0" borderId="1" xfId="1" applyNumberFormat="1" applyFont="1" applyBorder="1"/>
    <xf numFmtId="164" fontId="0" fillId="0" borderId="1" xfId="0" applyNumberFormat="1" applyBorder="1"/>
    <xf numFmtId="9" fontId="0" fillId="0" borderId="2" xfId="2" applyFont="1" applyBorder="1"/>
    <xf numFmtId="0" fontId="3" fillId="0" borderId="0" xfId="0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4"/>
  <sheetViews>
    <sheetView tabSelected="1" topLeftCell="H1" workbookViewId="0">
      <selection activeCell="P14" sqref="P14"/>
    </sheetView>
  </sheetViews>
  <sheetFormatPr defaultRowHeight="15"/>
  <cols>
    <col min="2" max="2" width="12.85546875" bestFit="1" customWidth="1"/>
    <col min="13" max="13" width="16" bestFit="1" customWidth="1"/>
    <col min="14" max="14" width="15.7109375" bestFit="1" customWidth="1"/>
    <col min="15" max="15" width="11.7109375" bestFit="1" customWidth="1"/>
    <col min="16" max="16" width="11.42578125" bestFit="1" customWidth="1"/>
    <col min="18" max="18" width="12" bestFit="1" customWidth="1"/>
  </cols>
  <sheetData>
    <row r="1" spans="1:21"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46</v>
      </c>
      <c r="Q1" t="s">
        <v>44</v>
      </c>
      <c r="R1" t="s">
        <v>48</v>
      </c>
    </row>
    <row r="2" spans="1:21">
      <c r="T2" s="6" t="s">
        <v>55</v>
      </c>
      <c r="U2" s="6" t="s">
        <v>54</v>
      </c>
    </row>
    <row r="3" spans="1:21">
      <c r="A3" t="s">
        <v>0</v>
      </c>
      <c r="B3">
        <v>100</v>
      </c>
      <c r="C3">
        <v>99</v>
      </c>
      <c r="D3">
        <v>50</v>
      </c>
      <c r="E3">
        <v>48</v>
      </c>
      <c r="F3">
        <v>50</v>
      </c>
      <c r="G3">
        <v>47</v>
      </c>
      <c r="H3">
        <v>50</v>
      </c>
      <c r="I3">
        <v>49</v>
      </c>
      <c r="J3">
        <v>50</v>
      </c>
      <c r="K3">
        <v>49</v>
      </c>
      <c r="L3">
        <v>50</v>
      </c>
      <c r="M3">
        <v>100</v>
      </c>
      <c r="N3">
        <v>95</v>
      </c>
      <c r="O3">
        <v>97</v>
      </c>
      <c r="P3" s="14">
        <f>SUM(B3:O3)</f>
        <v>934</v>
      </c>
      <c r="Q3" s="14">
        <f>P3/950</f>
        <v>0.98315789473684212</v>
      </c>
      <c r="R3" t="str">
        <f>VLOOKUP(Q3, $T$3:$U$7, 2)</f>
        <v>A</v>
      </c>
      <c r="S3" s="5"/>
      <c r="T3" s="5">
        <v>0</v>
      </c>
      <c r="U3" t="s">
        <v>56</v>
      </c>
    </row>
    <row r="4" spans="1:21">
      <c r="A4" t="s">
        <v>4</v>
      </c>
      <c r="B4">
        <v>99</v>
      </c>
      <c r="C4">
        <v>85</v>
      </c>
      <c r="D4">
        <v>50</v>
      </c>
      <c r="E4">
        <v>49</v>
      </c>
      <c r="F4">
        <v>50</v>
      </c>
      <c r="G4">
        <v>48</v>
      </c>
      <c r="H4">
        <v>49</v>
      </c>
      <c r="I4">
        <v>43</v>
      </c>
      <c r="J4">
        <v>49</v>
      </c>
      <c r="K4">
        <v>47</v>
      </c>
      <c r="L4">
        <v>47</v>
      </c>
      <c r="M4">
        <v>98</v>
      </c>
      <c r="N4">
        <v>99</v>
      </c>
      <c r="O4">
        <v>96</v>
      </c>
      <c r="P4" s="14">
        <f t="shared" ref="P4:P8" si="0">SUM(B4:O4)</f>
        <v>909</v>
      </c>
      <c r="Q4" s="14">
        <f t="shared" ref="Q4:Q8" si="1">P4/950</f>
        <v>0.95684210526315794</v>
      </c>
      <c r="R4" t="str">
        <f>VLOOKUP(Q4, $T$3:$U$7, 2)</f>
        <v>A</v>
      </c>
      <c r="S4" s="5"/>
      <c r="T4" s="5">
        <v>0.6</v>
      </c>
      <c r="U4" t="s">
        <v>57</v>
      </c>
    </row>
    <row r="5" spans="1:21">
      <c r="A5" t="s">
        <v>5</v>
      </c>
      <c r="B5">
        <v>65</v>
      </c>
      <c r="C5">
        <v>100</v>
      </c>
      <c r="D5">
        <v>50</v>
      </c>
      <c r="E5">
        <v>50</v>
      </c>
      <c r="F5">
        <v>43</v>
      </c>
      <c r="G5">
        <v>49</v>
      </c>
      <c r="H5">
        <v>46</v>
      </c>
      <c r="I5">
        <v>50</v>
      </c>
      <c r="J5">
        <v>47</v>
      </c>
      <c r="K5">
        <v>50</v>
      </c>
      <c r="L5">
        <v>48</v>
      </c>
      <c r="M5">
        <v>97</v>
      </c>
      <c r="N5">
        <v>97</v>
      </c>
      <c r="O5">
        <v>94</v>
      </c>
      <c r="P5" s="14">
        <f t="shared" si="0"/>
        <v>886</v>
      </c>
      <c r="Q5" s="14">
        <f t="shared" si="1"/>
        <v>0.93263157894736837</v>
      </c>
      <c r="R5" t="str">
        <f t="shared" ref="R5:R9" si="2">VLOOKUP(Q5, $T$3:$U$7, 2)</f>
        <v>A</v>
      </c>
      <c r="S5" s="5"/>
      <c r="T5" s="5">
        <v>0.7</v>
      </c>
      <c r="U5" t="s">
        <v>58</v>
      </c>
    </row>
    <row r="6" spans="1:21">
      <c r="A6" t="s">
        <v>6</v>
      </c>
      <c r="B6">
        <v>89</v>
      </c>
      <c r="C6">
        <v>73</v>
      </c>
      <c r="D6">
        <v>50</v>
      </c>
      <c r="E6">
        <v>47</v>
      </c>
      <c r="F6">
        <v>42</v>
      </c>
      <c r="G6">
        <v>50</v>
      </c>
      <c r="H6">
        <v>42</v>
      </c>
      <c r="I6">
        <v>47</v>
      </c>
      <c r="J6">
        <v>48</v>
      </c>
      <c r="K6">
        <v>44</v>
      </c>
      <c r="L6">
        <v>49</v>
      </c>
      <c r="M6">
        <v>97</v>
      </c>
      <c r="N6">
        <v>95</v>
      </c>
      <c r="O6">
        <v>92</v>
      </c>
      <c r="P6" s="14">
        <f t="shared" si="0"/>
        <v>865</v>
      </c>
      <c r="Q6" s="14">
        <f t="shared" si="1"/>
        <v>0.91052631578947374</v>
      </c>
      <c r="R6" t="str">
        <f t="shared" si="2"/>
        <v>A</v>
      </c>
      <c r="S6" s="5"/>
      <c r="T6" s="5">
        <v>0.8</v>
      </c>
      <c r="U6" t="s">
        <v>59</v>
      </c>
    </row>
    <row r="7" spans="1:21">
      <c r="A7" t="s">
        <v>7</v>
      </c>
      <c r="B7">
        <v>85</v>
      </c>
      <c r="C7">
        <v>91</v>
      </c>
      <c r="D7">
        <v>50</v>
      </c>
      <c r="E7">
        <v>49</v>
      </c>
      <c r="F7">
        <v>49</v>
      </c>
      <c r="G7">
        <v>50</v>
      </c>
      <c r="H7">
        <v>49</v>
      </c>
      <c r="I7">
        <v>49</v>
      </c>
      <c r="J7">
        <v>49</v>
      </c>
      <c r="K7">
        <v>49</v>
      </c>
      <c r="L7">
        <v>49</v>
      </c>
      <c r="M7">
        <v>98</v>
      </c>
      <c r="N7">
        <v>97</v>
      </c>
      <c r="O7">
        <v>91</v>
      </c>
      <c r="P7" s="14">
        <f t="shared" si="0"/>
        <v>905</v>
      </c>
      <c r="Q7" s="14">
        <f t="shared" si="1"/>
        <v>0.95263157894736838</v>
      </c>
      <c r="R7" t="str">
        <f t="shared" si="2"/>
        <v>A</v>
      </c>
      <c r="S7" s="5"/>
      <c r="T7" s="5">
        <v>0.9</v>
      </c>
      <c r="U7" t="s">
        <v>60</v>
      </c>
    </row>
    <row r="8" spans="1:21" ht="15.75" thickBot="1">
      <c r="A8" s="4" t="s">
        <v>8</v>
      </c>
      <c r="B8" s="4">
        <v>72</v>
      </c>
      <c r="C8" s="4">
        <v>89</v>
      </c>
      <c r="D8" s="4">
        <v>50</v>
      </c>
      <c r="E8" s="4">
        <v>48</v>
      </c>
      <c r="F8" s="4">
        <v>50</v>
      </c>
      <c r="G8" s="4">
        <v>49</v>
      </c>
      <c r="H8" s="4">
        <v>47</v>
      </c>
      <c r="I8" s="4">
        <v>45</v>
      </c>
      <c r="J8" s="4">
        <v>50</v>
      </c>
      <c r="K8" s="4">
        <v>50</v>
      </c>
      <c r="L8" s="4">
        <v>47</v>
      </c>
      <c r="M8" s="4">
        <v>89</v>
      </c>
      <c r="N8" s="4">
        <v>99</v>
      </c>
      <c r="O8" s="4">
        <v>99</v>
      </c>
      <c r="P8" s="14">
        <f t="shared" si="0"/>
        <v>884</v>
      </c>
      <c r="Q8" s="14">
        <f t="shared" si="1"/>
        <v>0.93052631578947365</v>
      </c>
      <c r="R8" s="4" t="str">
        <f t="shared" si="2"/>
        <v>A</v>
      </c>
    </row>
    <row r="9" spans="1:21" ht="15.75" thickTop="1">
      <c r="A9" t="s">
        <v>52</v>
      </c>
      <c r="B9" s="3">
        <f>AVERAGE(B3:B8)</f>
        <v>85</v>
      </c>
      <c r="C9" s="3">
        <f t="shared" ref="C9:Q9" si="3">AVERAGE(C3:C8)</f>
        <v>89.5</v>
      </c>
      <c r="D9" s="3">
        <f t="shared" si="3"/>
        <v>50</v>
      </c>
      <c r="E9" s="3">
        <f t="shared" si="3"/>
        <v>48.5</v>
      </c>
      <c r="F9" s="3">
        <f t="shared" si="3"/>
        <v>47.333333333333336</v>
      </c>
      <c r="G9" s="3">
        <f t="shared" si="3"/>
        <v>48.833333333333336</v>
      </c>
      <c r="H9" s="3">
        <f t="shared" si="3"/>
        <v>47.166666666666664</v>
      </c>
      <c r="I9" s="3">
        <f t="shared" si="3"/>
        <v>47.166666666666664</v>
      </c>
      <c r="J9" s="3">
        <f t="shared" si="3"/>
        <v>48.833333333333336</v>
      </c>
      <c r="K9" s="3">
        <f t="shared" si="3"/>
        <v>48.166666666666664</v>
      </c>
      <c r="L9" s="3">
        <f t="shared" si="3"/>
        <v>48.333333333333336</v>
      </c>
      <c r="M9" s="3">
        <f t="shared" si="3"/>
        <v>96.5</v>
      </c>
      <c r="N9" s="3">
        <f t="shared" si="3"/>
        <v>97</v>
      </c>
      <c r="O9" s="3">
        <f t="shared" si="3"/>
        <v>94.833333333333329</v>
      </c>
      <c r="P9" s="3">
        <f t="shared" si="3"/>
        <v>897.16666666666663</v>
      </c>
      <c r="Q9" s="3">
        <f t="shared" si="3"/>
        <v>0.94438596491228066</v>
      </c>
      <c r="R9" t="str">
        <f t="shared" si="2"/>
        <v>A</v>
      </c>
    </row>
    <row r="10" spans="1:21">
      <c r="A10" t="s">
        <v>53</v>
      </c>
      <c r="B10" s="3">
        <f>STDEV(B3:B8)</f>
        <v>14.184498581197715</v>
      </c>
      <c r="C10" s="3">
        <f t="shared" ref="C10:O10" si="4">STDEV(C3:C8)</f>
        <v>9.9548982917958533</v>
      </c>
      <c r="D10" s="3">
        <f t="shared" si="4"/>
        <v>0</v>
      </c>
      <c r="E10" s="3">
        <f t="shared" si="4"/>
        <v>1.0488088481701516</v>
      </c>
      <c r="F10" s="3">
        <f t="shared" si="4"/>
        <v>3.7771241264574278</v>
      </c>
      <c r="G10" s="3">
        <f t="shared" si="4"/>
        <v>1.1690451944500639</v>
      </c>
      <c r="H10" s="3">
        <f t="shared" si="4"/>
        <v>2.9268868558020462</v>
      </c>
      <c r="I10" s="3">
        <f t="shared" si="4"/>
        <v>2.71416039810966</v>
      </c>
      <c r="J10" s="3">
        <f t="shared" si="4"/>
        <v>1.1690451944500639</v>
      </c>
      <c r="K10" s="3">
        <f t="shared" si="4"/>
        <v>2.3166067138525666</v>
      </c>
      <c r="L10" s="3">
        <f t="shared" si="4"/>
        <v>1.2110601416390467</v>
      </c>
      <c r="M10" s="3">
        <f t="shared" si="4"/>
        <v>3.8340579025361627</v>
      </c>
      <c r="N10" s="3">
        <f t="shared" si="4"/>
        <v>1.7888543819998317</v>
      </c>
      <c r="O10" s="3">
        <f t="shared" si="4"/>
        <v>3.060501048303554</v>
      </c>
      <c r="P10" s="3">
        <f t="shared" ref="P10:Q10" si="5">STDEV(P3:P8)</f>
        <v>24.045096520218099</v>
      </c>
      <c r="Q10" s="3">
        <f t="shared" si="5"/>
        <v>2.5310627916020415E-2</v>
      </c>
    </row>
    <row r="12" spans="1:21">
      <c r="P12" s="14" t="s">
        <v>66</v>
      </c>
      <c r="R12" s="14">
        <v>-2</v>
      </c>
    </row>
    <row r="14" spans="1:21">
      <c r="P14" s="14" t="s">
        <v>67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3"/>
  <sheetViews>
    <sheetView workbookViewId="0">
      <selection activeCell="E13" sqref="E13"/>
    </sheetView>
  </sheetViews>
  <sheetFormatPr defaultRowHeight="15"/>
  <cols>
    <col min="1" max="1" width="11.7109375" customWidth="1"/>
    <col min="2" max="2" width="11.5703125" bestFit="1" customWidth="1"/>
    <col min="5" max="5" width="16.28515625" bestFit="1" customWidth="1"/>
    <col min="6" max="6" width="10.7109375" bestFit="1" customWidth="1"/>
    <col min="7" max="7" width="11.140625" bestFit="1" customWidth="1"/>
    <col min="8" max="8" width="8" bestFit="1" customWidth="1"/>
    <col min="9" max="9" width="11.7109375" bestFit="1" customWidth="1"/>
  </cols>
  <sheetData>
    <row r="1" spans="1:13">
      <c r="B1" t="s">
        <v>26</v>
      </c>
      <c r="C1" t="s">
        <v>1</v>
      </c>
      <c r="D1" t="s">
        <v>2</v>
      </c>
      <c r="E1" t="s">
        <v>27</v>
      </c>
      <c r="F1" t="s">
        <v>28</v>
      </c>
      <c r="G1" t="s">
        <v>50</v>
      </c>
      <c r="H1" t="s">
        <v>44</v>
      </c>
      <c r="I1" t="s">
        <v>51</v>
      </c>
    </row>
    <row r="2" spans="1:13">
      <c r="A2" s="6" t="s">
        <v>61</v>
      </c>
      <c r="B2" s="7">
        <v>0.2</v>
      </c>
      <c r="C2" s="7">
        <v>0.2</v>
      </c>
      <c r="D2" s="7">
        <v>0.2</v>
      </c>
      <c r="E2" s="7">
        <v>0.15</v>
      </c>
      <c r="F2" s="7">
        <v>0.25</v>
      </c>
      <c r="G2" s="6"/>
      <c r="H2" s="6"/>
      <c r="I2" s="6"/>
      <c r="L2" s="6" t="s">
        <v>55</v>
      </c>
      <c r="M2" s="6" t="s">
        <v>54</v>
      </c>
    </row>
    <row r="3" spans="1:13">
      <c r="A3" t="s">
        <v>0</v>
      </c>
      <c r="B3">
        <v>89</v>
      </c>
      <c r="C3">
        <v>75</v>
      </c>
      <c r="D3">
        <v>95</v>
      </c>
      <c r="E3">
        <v>100</v>
      </c>
      <c r="F3">
        <v>76</v>
      </c>
      <c r="G3">
        <f>SUM(B3:F3)</f>
        <v>435</v>
      </c>
      <c r="H3" s="5">
        <f t="shared" ref="H3:H8" si="0">SUMPRODUCT($B$2:$F$2, B3:F3)/100</f>
        <v>0.85799999999999998</v>
      </c>
      <c r="I3" t="str">
        <f t="shared" ref="I3:I9" si="1">VLOOKUP(H3, $L$3:$M$7, 2)</f>
        <v>B</v>
      </c>
      <c r="L3" s="5">
        <v>0</v>
      </c>
      <c r="M3" t="s">
        <v>56</v>
      </c>
    </row>
    <row r="4" spans="1:13">
      <c r="A4" t="s">
        <v>4</v>
      </c>
      <c r="B4">
        <v>75</v>
      </c>
      <c r="C4">
        <v>89</v>
      </c>
      <c r="D4">
        <v>91</v>
      </c>
      <c r="E4">
        <v>89</v>
      </c>
      <c r="F4">
        <v>75</v>
      </c>
      <c r="G4">
        <f t="shared" ref="G4:G8" si="2">SUM(B4:F4)</f>
        <v>419</v>
      </c>
      <c r="H4" s="5">
        <f t="shared" si="0"/>
        <v>0.83099999999999996</v>
      </c>
      <c r="I4" t="str">
        <f t="shared" si="1"/>
        <v>B</v>
      </c>
      <c r="L4" s="5">
        <v>0.6</v>
      </c>
      <c r="M4" t="s">
        <v>57</v>
      </c>
    </row>
    <row r="5" spans="1:13">
      <c r="A5" t="s">
        <v>5</v>
      </c>
      <c r="B5">
        <v>90</v>
      </c>
      <c r="C5">
        <v>73</v>
      </c>
      <c r="D5">
        <v>92</v>
      </c>
      <c r="E5">
        <v>87</v>
      </c>
      <c r="F5">
        <v>89</v>
      </c>
      <c r="G5">
        <f t="shared" si="2"/>
        <v>431</v>
      </c>
      <c r="H5" s="5">
        <f t="shared" si="0"/>
        <v>0.86299999999999999</v>
      </c>
      <c r="I5" t="str">
        <f t="shared" si="1"/>
        <v>B</v>
      </c>
      <c r="L5" s="5">
        <v>0.7</v>
      </c>
      <c r="M5" t="s">
        <v>58</v>
      </c>
    </row>
    <row r="6" spans="1:13">
      <c r="A6" t="s">
        <v>6</v>
      </c>
      <c r="B6">
        <v>95</v>
      </c>
      <c r="C6">
        <v>89</v>
      </c>
      <c r="D6">
        <v>89</v>
      </c>
      <c r="E6">
        <v>36</v>
      </c>
      <c r="F6">
        <v>88</v>
      </c>
      <c r="G6">
        <f t="shared" si="2"/>
        <v>397</v>
      </c>
      <c r="H6" s="5">
        <f t="shared" si="0"/>
        <v>0.82</v>
      </c>
      <c r="I6" t="str">
        <f t="shared" si="1"/>
        <v>B</v>
      </c>
      <c r="L6" s="5">
        <v>0.8</v>
      </c>
      <c r="M6" t="s">
        <v>59</v>
      </c>
    </row>
    <row r="7" spans="1:13">
      <c r="A7" t="s">
        <v>7</v>
      </c>
      <c r="B7">
        <v>70</v>
      </c>
      <c r="C7">
        <v>81</v>
      </c>
      <c r="D7">
        <v>87</v>
      </c>
      <c r="E7">
        <v>97</v>
      </c>
      <c r="F7">
        <v>87</v>
      </c>
      <c r="G7">
        <f t="shared" si="2"/>
        <v>422</v>
      </c>
      <c r="H7" s="5">
        <f t="shared" si="0"/>
        <v>0.83900000000000008</v>
      </c>
      <c r="I7" t="str">
        <f t="shared" si="1"/>
        <v>B</v>
      </c>
      <c r="L7" s="5">
        <v>0.9</v>
      </c>
      <c r="M7" t="s">
        <v>60</v>
      </c>
    </row>
    <row r="8" spans="1:13" ht="15.75" thickBot="1">
      <c r="A8" s="4" t="s">
        <v>8</v>
      </c>
      <c r="B8" s="4">
        <v>87</v>
      </c>
      <c r="C8" s="4">
        <v>78</v>
      </c>
      <c r="D8" s="4">
        <v>92</v>
      </c>
      <c r="E8" s="4">
        <v>98</v>
      </c>
      <c r="F8" s="4">
        <v>91</v>
      </c>
      <c r="G8" s="4">
        <f t="shared" si="2"/>
        <v>446</v>
      </c>
      <c r="H8" s="8">
        <f t="shared" si="0"/>
        <v>0.88850000000000007</v>
      </c>
      <c r="I8" s="4" t="str">
        <f t="shared" si="1"/>
        <v>B</v>
      </c>
    </row>
    <row r="9" spans="1:13" ht="15.75" thickTop="1">
      <c r="A9" t="s">
        <v>52</v>
      </c>
      <c r="B9" s="3">
        <f t="shared" ref="B9:H9" si="3">AVERAGE(B3:B8)</f>
        <v>84.333333333333329</v>
      </c>
      <c r="C9" s="3">
        <f t="shared" si="3"/>
        <v>80.833333333333329</v>
      </c>
      <c r="D9" s="3">
        <f t="shared" si="3"/>
        <v>91</v>
      </c>
      <c r="E9" s="3">
        <f t="shared" si="3"/>
        <v>84.5</v>
      </c>
      <c r="F9" s="3">
        <f t="shared" si="3"/>
        <v>84.333333333333329</v>
      </c>
      <c r="G9" s="3">
        <f t="shared" si="3"/>
        <v>425</v>
      </c>
      <c r="H9" s="9">
        <f t="shared" si="3"/>
        <v>0.84991666666666676</v>
      </c>
      <c r="I9" t="str">
        <f t="shared" si="1"/>
        <v>B</v>
      </c>
    </row>
    <row r="10" spans="1:13">
      <c r="A10" t="s">
        <v>53</v>
      </c>
      <c r="B10" s="3">
        <f t="shared" ref="B10:H10" si="4">STDEV(B3:B8)</f>
        <v>9.6678160236253543</v>
      </c>
      <c r="C10" s="3">
        <f t="shared" si="4"/>
        <v>6.8823445617512604</v>
      </c>
      <c r="D10" s="3">
        <f t="shared" si="4"/>
        <v>2.7568097504180442</v>
      </c>
      <c r="E10" s="3">
        <f t="shared" si="4"/>
        <v>24.320773014030618</v>
      </c>
      <c r="F10" s="3">
        <f t="shared" si="4"/>
        <v>6.9761498454854847</v>
      </c>
      <c r="G10" s="3">
        <f t="shared" si="4"/>
        <v>16.769019053003667</v>
      </c>
      <c r="H10" s="3">
        <f t="shared" si="4"/>
        <v>2.4888585067590084E-2</v>
      </c>
    </row>
    <row r="13" spans="1:13">
      <c r="B13" s="14"/>
      <c r="C13" s="14"/>
      <c r="D13" s="14"/>
      <c r="E13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3"/>
  <sheetViews>
    <sheetView workbookViewId="0">
      <selection activeCell="B13" sqref="B13:D13"/>
    </sheetView>
  </sheetViews>
  <sheetFormatPr defaultRowHeight="15"/>
  <cols>
    <col min="1" max="1" width="12.28515625" customWidth="1"/>
    <col min="2" max="2" width="13.28515625" bestFit="1" customWidth="1"/>
    <col min="3" max="3" width="14.85546875" bestFit="1" customWidth="1"/>
  </cols>
  <sheetData>
    <row r="1" spans="1:11">
      <c r="B1" t="s">
        <v>23</v>
      </c>
      <c r="C1" t="s">
        <v>24</v>
      </c>
      <c r="D1" t="s">
        <v>25</v>
      </c>
      <c r="E1" t="s">
        <v>46</v>
      </c>
      <c r="F1" t="s">
        <v>47</v>
      </c>
      <c r="G1" t="s">
        <v>48</v>
      </c>
    </row>
    <row r="2" spans="1:11">
      <c r="A2" s="6" t="s">
        <v>61</v>
      </c>
      <c r="B2" s="7">
        <v>0.25</v>
      </c>
      <c r="C2" s="7">
        <v>0.25</v>
      </c>
      <c r="D2" s="7">
        <v>0.5</v>
      </c>
      <c r="E2" s="6"/>
      <c r="F2" s="6"/>
      <c r="G2" s="6"/>
    </row>
    <row r="3" spans="1:11">
      <c r="A3" t="s">
        <v>0</v>
      </c>
      <c r="B3">
        <v>89</v>
      </c>
      <c r="C3">
        <v>78</v>
      </c>
      <c r="D3">
        <v>97</v>
      </c>
      <c r="E3">
        <f>SUM(B3:D3)</f>
        <v>264</v>
      </c>
      <c r="F3" s="5">
        <f>SUMPRODUCT($B$2:$D$2, B3:D3)/100</f>
        <v>0.90249999999999997</v>
      </c>
      <c r="G3" t="str">
        <f>VLOOKUP(F3, $J$4:$K$8,2)</f>
        <v>A</v>
      </c>
      <c r="J3" s="6" t="s">
        <v>55</v>
      </c>
      <c r="K3" s="6" t="s">
        <v>54</v>
      </c>
    </row>
    <row r="4" spans="1:11">
      <c r="A4" t="s">
        <v>4</v>
      </c>
      <c r="B4">
        <v>78</v>
      </c>
      <c r="C4">
        <v>91</v>
      </c>
      <c r="D4">
        <v>81</v>
      </c>
      <c r="E4">
        <f t="shared" ref="E4:E8" si="0">SUM(B4:D4)</f>
        <v>250</v>
      </c>
      <c r="F4" s="5">
        <f t="shared" ref="F4:F8" si="1">SUMPRODUCT($B$2:$D$2, B4:D4)/100</f>
        <v>0.82750000000000001</v>
      </c>
      <c r="G4" t="str">
        <f t="shared" ref="G4:G9" si="2">VLOOKUP(F4, $J$4:$K$8,2)</f>
        <v>B</v>
      </c>
      <c r="J4" s="5">
        <v>0</v>
      </c>
      <c r="K4" t="s">
        <v>56</v>
      </c>
    </row>
    <row r="5" spans="1:11">
      <c r="A5" t="s">
        <v>5</v>
      </c>
      <c r="B5">
        <v>91</v>
      </c>
      <c r="C5">
        <v>65</v>
      </c>
      <c r="D5">
        <v>76</v>
      </c>
      <c r="E5">
        <f t="shared" si="0"/>
        <v>232</v>
      </c>
      <c r="F5" s="5">
        <f t="shared" si="1"/>
        <v>0.77</v>
      </c>
      <c r="G5" t="str">
        <f t="shared" si="2"/>
        <v>C</v>
      </c>
      <c r="J5" s="5">
        <v>0.6</v>
      </c>
      <c r="K5" t="s">
        <v>57</v>
      </c>
    </row>
    <row r="6" spans="1:11">
      <c r="A6" t="s">
        <v>6</v>
      </c>
      <c r="B6">
        <v>93</v>
      </c>
      <c r="C6">
        <v>79</v>
      </c>
      <c r="D6">
        <v>87</v>
      </c>
      <c r="E6">
        <f t="shared" si="0"/>
        <v>259</v>
      </c>
      <c r="F6" s="5">
        <f t="shared" si="1"/>
        <v>0.86499999999999999</v>
      </c>
      <c r="G6" t="str">
        <f t="shared" si="2"/>
        <v>B</v>
      </c>
      <c r="J6" s="5">
        <v>0.7</v>
      </c>
      <c r="K6" t="s">
        <v>58</v>
      </c>
    </row>
    <row r="7" spans="1:11">
      <c r="A7" t="s">
        <v>7</v>
      </c>
      <c r="B7">
        <v>79</v>
      </c>
      <c r="C7">
        <v>91</v>
      </c>
      <c r="D7">
        <v>89</v>
      </c>
      <c r="E7">
        <f t="shared" si="0"/>
        <v>259</v>
      </c>
      <c r="F7" s="5">
        <f t="shared" si="1"/>
        <v>0.87</v>
      </c>
      <c r="G7" t="str">
        <f t="shared" si="2"/>
        <v>B</v>
      </c>
      <c r="J7" s="5">
        <v>0.8</v>
      </c>
      <c r="K7" t="s">
        <v>59</v>
      </c>
    </row>
    <row r="8" spans="1:11" ht="15.75" thickBot="1">
      <c r="A8" s="4" t="s">
        <v>8</v>
      </c>
      <c r="B8" s="4">
        <v>82</v>
      </c>
      <c r="C8" s="4">
        <v>89</v>
      </c>
      <c r="D8" s="4">
        <v>90</v>
      </c>
      <c r="E8" s="4">
        <f t="shared" si="0"/>
        <v>261</v>
      </c>
      <c r="F8" s="8">
        <f t="shared" si="1"/>
        <v>0.87749999999999995</v>
      </c>
      <c r="G8" s="4" t="str">
        <f t="shared" si="2"/>
        <v>B</v>
      </c>
      <c r="J8" s="5">
        <v>0.9</v>
      </c>
      <c r="K8" t="s">
        <v>60</v>
      </c>
    </row>
    <row r="9" spans="1:11" ht="15.75" thickTop="1">
      <c r="A9" t="s">
        <v>52</v>
      </c>
      <c r="B9" s="3">
        <f>AVERAGE(B3:B8)</f>
        <v>85.333333333333329</v>
      </c>
      <c r="C9" s="3">
        <f>AVERAGE(C3:C8)</f>
        <v>82.166666666666671</v>
      </c>
      <c r="D9" s="3">
        <f>AVERAGE(D3:D8)</f>
        <v>86.666666666666671</v>
      </c>
      <c r="E9" s="3">
        <f>AVERAGE(E3:E8)</f>
        <v>254.16666666666666</v>
      </c>
      <c r="F9" s="3">
        <f>AVERAGE(F3:F8)</f>
        <v>0.85208333333333341</v>
      </c>
      <c r="G9" t="str">
        <f t="shared" si="2"/>
        <v>B</v>
      </c>
    </row>
    <row r="10" spans="1:11">
      <c r="A10" t="s">
        <v>53</v>
      </c>
      <c r="B10" s="3">
        <f>STDEV(B3:B8)</f>
        <v>6.4704456312271992</v>
      </c>
      <c r="C10" s="3">
        <f>STDEV(C3:C8)</f>
        <v>10.245324136730236</v>
      </c>
      <c r="D10" s="3">
        <f>STDEV(D3:D8)</f>
        <v>7.3393914370789046</v>
      </c>
      <c r="E10" s="3">
        <f>STDEV(E3:E8)</f>
        <v>11.82229532141127</v>
      </c>
      <c r="F10" s="3">
        <f>STDEV(F3:F8)</f>
        <v>4.694189670929854E-2</v>
      </c>
    </row>
    <row r="13" spans="1:11">
      <c r="B13" s="14"/>
      <c r="C13" s="14"/>
      <c r="D13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10"/>
  <sheetViews>
    <sheetView topLeftCell="G1" workbookViewId="0">
      <selection activeCell="P3" sqref="P3"/>
    </sheetView>
  </sheetViews>
  <sheetFormatPr defaultRowHeight="15"/>
  <cols>
    <col min="2" max="10" width="12.140625" bestFit="1" customWidth="1"/>
    <col min="11" max="11" width="13.7109375" bestFit="1" customWidth="1"/>
    <col min="12" max="12" width="19.5703125" customWidth="1"/>
    <col min="13" max="13" width="14.42578125" bestFit="1" customWidth="1"/>
    <col min="15" max="15" width="12.85546875" bestFit="1" customWidth="1"/>
    <col min="16" max="16" width="8.28515625" bestFit="1" customWidth="1"/>
    <col min="17" max="17" width="11.42578125" bestFit="1" customWidth="1"/>
  </cols>
  <sheetData>
    <row r="1" spans="1:20"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62</v>
      </c>
      <c r="M1" t="s">
        <v>39</v>
      </c>
      <c r="N1" t="s">
        <v>40</v>
      </c>
      <c r="O1" t="s">
        <v>49</v>
      </c>
      <c r="P1" t="s">
        <v>47</v>
      </c>
      <c r="Q1" t="s">
        <v>45</v>
      </c>
    </row>
    <row r="2" spans="1:20">
      <c r="A2" t="s">
        <v>61</v>
      </c>
      <c r="L2" s="1">
        <v>0.3</v>
      </c>
      <c r="M2" s="1">
        <v>0.2</v>
      </c>
      <c r="N2" s="1">
        <v>0.5</v>
      </c>
      <c r="S2" s="6" t="s">
        <v>55</v>
      </c>
      <c r="T2" s="6" t="s">
        <v>54</v>
      </c>
    </row>
    <row r="3" spans="1:20">
      <c r="A3" t="s">
        <v>0</v>
      </c>
      <c r="B3">
        <v>100</v>
      </c>
      <c r="C3">
        <v>95</v>
      </c>
      <c r="D3">
        <v>99</v>
      </c>
      <c r="E3">
        <v>95</v>
      </c>
      <c r="F3">
        <v>99</v>
      </c>
      <c r="G3">
        <v>100</v>
      </c>
      <c r="H3">
        <v>99</v>
      </c>
      <c r="I3">
        <v>35</v>
      </c>
      <c r="J3">
        <v>100</v>
      </c>
      <c r="K3">
        <v>97</v>
      </c>
      <c r="L3" s="2">
        <f>(SUM(B3:K3)-MIN(B3:K3))/9</f>
        <v>98.222222222222229</v>
      </c>
      <c r="M3">
        <v>87</v>
      </c>
      <c r="N3">
        <v>99</v>
      </c>
      <c r="O3" s="10">
        <f>SUM(B3:K3)+SUM(M3:N3)</f>
        <v>1105</v>
      </c>
      <c r="P3" s="5">
        <f>SUMPRODUCT($L$2:$N$2, L3:N3)/100</f>
        <v>0.96366666666666678</v>
      </c>
      <c r="Q3" t="str">
        <f>VLOOKUP(P3, $S$3:$T$7, 2)</f>
        <v>A</v>
      </c>
      <c r="S3" s="5">
        <v>0</v>
      </c>
      <c r="T3" t="s">
        <v>56</v>
      </c>
    </row>
    <row r="4" spans="1:20">
      <c r="A4" t="s">
        <v>4</v>
      </c>
      <c r="B4">
        <v>99</v>
      </c>
      <c r="C4">
        <v>99</v>
      </c>
      <c r="D4">
        <v>97</v>
      </c>
      <c r="E4">
        <v>100</v>
      </c>
      <c r="F4">
        <v>100</v>
      </c>
      <c r="G4">
        <v>100</v>
      </c>
      <c r="H4">
        <v>94</v>
      </c>
      <c r="I4">
        <v>90</v>
      </c>
      <c r="J4">
        <v>50</v>
      </c>
      <c r="K4">
        <v>100</v>
      </c>
      <c r="L4" s="2">
        <f t="shared" ref="L4:L8" si="0">(SUM(B4:K4)-MIN(B4:K4))/9</f>
        <v>97.666666666666671</v>
      </c>
      <c r="M4">
        <v>93</v>
      </c>
      <c r="N4">
        <v>97</v>
      </c>
      <c r="O4" s="10">
        <f t="shared" ref="O4:O8" si="1">SUM(B4:K4)+SUM(M4:N4)</f>
        <v>1119</v>
      </c>
      <c r="P4" s="5">
        <f t="shared" ref="P4:P8" si="2">SUMPRODUCT($L$2:$N$2, L4:N4)/100</f>
        <v>0.96400000000000008</v>
      </c>
      <c r="Q4" t="str">
        <f t="shared" ref="Q4:Q9" si="3">VLOOKUP(P4, $S$3:$T$7, 2)</f>
        <v>A</v>
      </c>
      <c r="S4" s="5">
        <v>0.6</v>
      </c>
      <c r="T4" t="s">
        <v>57</v>
      </c>
    </row>
    <row r="5" spans="1:20">
      <c r="A5" t="s">
        <v>5</v>
      </c>
      <c r="B5">
        <v>98</v>
      </c>
      <c r="C5">
        <v>45</v>
      </c>
      <c r="D5">
        <v>98</v>
      </c>
      <c r="E5">
        <v>95</v>
      </c>
      <c r="F5">
        <v>99</v>
      </c>
      <c r="G5">
        <v>100</v>
      </c>
      <c r="H5">
        <v>97</v>
      </c>
      <c r="I5">
        <v>99</v>
      </c>
      <c r="J5">
        <v>89</v>
      </c>
      <c r="K5">
        <v>98</v>
      </c>
      <c r="L5" s="2">
        <f t="shared" si="0"/>
        <v>97</v>
      </c>
      <c r="M5">
        <v>85</v>
      </c>
      <c r="N5">
        <v>95</v>
      </c>
      <c r="O5" s="10">
        <f t="shared" si="1"/>
        <v>1098</v>
      </c>
      <c r="P5" s="5">
        <f t="shared" si="2"/>
        <v>0.93599999999999994</v>
      </c>
      <c r="Q5" t="str">
        <f t="shared" si="3"/>
        <v>A</v>
      </c>
      <c r="S5" s="5">
        <v>0.7</v>
      </c>
      <c r="T5" t="s">
        <v>58</v>
      </c>
    </row>
    <row r="6" spans="1:20">
      <c r="A6" t="s">
        <v>6</v>
      </c>
      <c r="B6">
        <v>97</v>
      </c>
      <c r="C6">
        <v>96</v>
      </c>
      <c r="D6">
        <v>95</v>
      </c>
      <c r="E6">
        <v>97</v>
      </c>
      <c r="F6">
        <v>37</v>
      </c>
      <c r="G6">
        <v>100</v>
      </c>
      <c r="H6">
        <v>98</v>
      </c>
      <c r="I6">
        <v>94</v>
      </c>
      <c r="J6">
        <v>90</v>
      </c>
      <c r="K6">
        <v>45</v>
      </c>
      <c r="L6" s="2">
        <f t="shared" si="0"/>
        <v>90.222222222222229</v>
      </c>
      <c r="M6">
        <v>86</v>
      </c>
      <c r="N6">
        <v>94</v>
      </c>
      <c r="O6" s="10">
        <f t="shared" si="1"/>
        <v>1029</v>
      </c>
      <c r="P6" s="5">
        <f t="shared" si="2"/>
        <v>0.91266666666666663</v>
      </c>
      <c r="Q6" t="str">
        <f t="shared" si="3"/>
        <v>A</v>
      </c>
      <c r="S6" s="5">
        <v>0.8</v>
      </c>
      <c r="T6" t="s">
        <v>59</v>
      </c>
    </row>
    <row r="7" spans="1:20">
      <c r="A7" t="s">
        <v>7</v>
      </c>
      <c r="B7">
        <v>100</v>
      </c>
      <c r="C7">
        <v>50</v>
      </c>
      <c r="D7">
        <v>100</v>
      </c>
      <c r="E7">
        <v>98</v>
      </c>
      <c r="F7">
        <v>65</v>
      </c>
      <c r="G7">
        <v>100</v>
      </c>
      <c r="H7">
        <v>99</v>
      </c>
      <c r="I7">
        <v>95</v>
      </c>
      <c r="J7">
        <v>95</v>
      </c>
      <c r="K7">
        <v>97</v>
      </c>
      <c r="L7" s="2">
        <f t="shared" si="0"/>
        <v>94.333333333333329</v>
      </c>
      <c r="M7">
        <v>91</v>
      </c>
      <c r="N7">
        <v>91</v>
      </c>
      <c r="O7" s="10">
        <f t="shared" si="1"/>
        <v>1081</v>
      </c>
      <c r="P7" s="5">
        <f t="shared" si="2"/>
        <v>0.92</v>
      </c>
      <c r="Q7" t="str">
        <f t="shared" si="3"/>
        <v>A</v>
      </c>
      <c r="S7" s="5">
        <v>0.9</v>
      </c>
      <c r="T7" t="s">
        <v>60</v>
      </c>
    </row>
    <row r="8" spans="1:20" ht="15.75" thickBot="1">
      <c r="A8" s="4" t="s">
        <v>8</v>
      </c>
      <c r="B8" s="4">
        <v>99</v>
      </c>
      <c r="C8" s="4">
        <v>100</v>
      </c>
      <c r="D8" s="4">
        <v>99</v>
      </c>
      <c r="E8" s="4">
        <v>45</v>
      </c>
      <c r="F8" s="4">
        <v>99</v>
      </c>
      <c r="G8" s="4">
        <v>100</v>
      </c>
      <c r="H8" s="4">
        <v>100</v>
      </c>
      <c r="I8" s="4">
        <v>97</v>
      </c>
      <c r="J8" s="4">
        <v>99</v>
      </c>
      <c r="K8" s="4">
        <v>99</v>
      </c>
      <c r="L8" s="12">
        <f t="shared" si="0"/>
        <v>99.111111111111114</v>
      </c>
      <c r="M8" s="4">
        <v>87</v>
      </c>
      <c r="N8" s="4">
        <v>89</v>
      </c>
      <c r="O8" s="11">
        <f t="shared" si="1"/>
        <v>1113</v>
      </c>
      <c r="P8" s="8">
        <f t="shared" si="2"/>
        <v>0.91633333333333344</v>
      </c>
      <c r="Q8" s="4" t="str">
        <f t="shared" si="3"/>
        <v>A</v>
      </c>
    </row>
    <row r="9" spans="1:20" ht="15.75" thickTop="1">
      <c r="A9" t="s">
        <v>52</v>
      </c>
      <c r="B9" s="3">
        <f t="shared" ref="B9:P9" si="4">AVERAGE(B3:B8)</f>
        <v>98.833333333333329</v>
      </c>
      <c r="C9" s="3">
        <f t="shared" si="4"/>
        <v>80.833333333333329</v>
      </c>
      <c r="D9" s="3">
        <f t="shared" si="4"/>
        <v>98</v>
      </c>
      <c r="E9" s="3">
        <f t="shared" si="4"/>
        <v>88.333333333333329</v>
      </c>
      <c r="F9" s="3">
        <f t="shared" si="4"/>
        <v>83.166666666666671</v>
      </c>
      <c r="G9" s="3">
        <f t="shared" si="4"/>
        <v>100</v>
      </c>
      <c r="H9" s="3">
        <f t="shared" si="4"/>
        <v>97.833333333333329</v>
      </c>
      <c r="I9" s="3">
        <f t="shared" si="4"/>
        <v>85</v>
      </c>
      <c r="J9" s="3">
        <f t="shared" si="4"/>
        <v>87.166666666666671</v>
      </c>
      <c r="K9" s="3">
        <f t="shared" si="4"/>
        <v>89.333333333333329</v>
      </c>
      <c r="L9" s="3">
        <f t="shared" si="4"/>
        <v>96.092592592592595</v>
      </c>
      <c r="M9" s="3">
        <f t="shared" si="4"/>
        <v>88.166666666666671</v>
      </c>
      <c r="N9" s="3">
        <f t="shared" si="4"/>
        <v>94.166666666666671</v>
      </c>
      <c r="O9" s="3">
        <f t="shared" si="4"/>
        <v>1090.8333333333333</v>
      </c>
      <c r="P9" s="9">
        <f t="shared" si="4"/>
        <v>0.93544444444444441</v>
      </c>
      <c r="Q9" t="str">
        <f t="shared" si="3"/>
        <v>A</v>
      </c>
    </row>
    <row r="10" spans="1:20">
      <c r="A10" t="s">
        <v>53</v>
      </c>
      <c r="B10" s="3">
        <f t="shared" ref="B10:P10" si="5">STDEV(B3:B8)</f>
        <v>1.1690451944502196</v>
      </c>
      <c r="C10" s="3">
        <f t="shared" si="5"/>
        <v>25.933890311071096</v>
      </c>
      <c r="D10" s="3">
        <f t="shared" si="5"/>
        <v>1.7888543819998317</v>
      </c>
      <c r="E10" s="3">
        <f t="shared" si="5"/>
        <v>21.31353247743478</v>
      </c>
      <c r="F10" s="3">
        <f t="shared" si="5"/>
        <v>26.445541527196358</v>
      </c>
      <c r="G10" s="3">
        <f t="shared" si="5"/>
        <v>0</v>
      </c>
      <c r="H10" s="3">
        <f t="shared" si="5"/>
        <v>2.1369760566433942</v>
      </c>
      <c r="I10" s="3">
        <f t="shared" si="5"/>
        <v>24.681977230359809</v>
      </c>
      <c r="J10" s="3">
        <f t="shared" si="5"/>
        <v>18.755443654221224</v>
      </c>
      <c r="K10" s="3">
        <f t="shared" si="5"/>
        <v>21.750095785229711</v>
      </c>
      <c r="L10" s="3">
        <f t="shared" si="5"/>
        <v>3.3016394481030518</v>
      </c>
      <c r="M10" s="3">
        <f t="shared" si="5"/>
        <v>3.1251666622225369</v>
      </c>
      <c r="N10" s="3">
        <f t="shared" si="5"/>
        <v>3.7103458958252333</v>
      </c>
      <c r="O10" s="3">
        <f t="shared" si="5"/>
        <v>33.035839124602305</v>
      </c>
      <c r="P10" s="3">
        <f t="shared" si="5"/>
        <v>2.3387239318974021E-2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10"/>
  <sheetViews>
    <sheetView topLeftCell="G1" workbookViewId="0">
      <selection activeCell="P3" sqref="P3"/>
    </sheetView>
  </sheetViews>
  <sheetFormatPr defaultRowHeight="15"/>
  <cols>
    <col min="2" max="10" width="12.140625" bestFit="1" customWidth="1"/>
    <col min="11" max="11" width="13.7109375" bestFit="1" customWidth="1"/>
    <col min="12" max="12" width="15.42578125" customWidth="1"/>
    <col min="13" max="13" width="14.42578125" bestFit="1" customWidth="1"/>
    <col min="14" max="14" width="9.28515625" bestFit="1" customWidth="1"/>
    <col min="15" max="15" width="11.42578125" bestFit="1" customWidth="1"/>
  </cols>
  <sheetData>
    <row r="1" spans="1:20"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62</v>
      </c>
      <c r="M1" t="s">
        <v>39</v>
      </c>
      <c r="N1" t="s">
        <v>40</v>
      </c>
      <c r="O1" t="s">
        <v>46</v>
      </c>
      <c r="P1" t="s">
        <v>47</v>
      </c>
      <c r="Q1" t="s">
        <v>48</v>
      </c>
    </row>
    <row r="2" spans="1:20">
      <c r="A2" s="6" t="s">
        <v>61</v>
      </c>
      <c r="B2" s="6"/>
      <c r="C2" s="6"/>
      <c r="D2" s="6"/>
      <c r="E2" s="6"/>
      <c r="F2" s="6"/>
      <c r="G2" s="6"/>
      <c r="H2" s="6"/>
      <c r="I2" s="6"/>
      <c r="J2" s="6"/>
      <c r="K2" s="6"/>
      <c r="L2" s="7">
        <v>0.3</v>
      </c>
      <c r="M2" s="7">
        <v>0.2</v>
      </c>
      <c r="N2" s="7">
        <v>0.5</v>
      </c>
      <c r="O2" s="6"/>
      <c r="P2" s="6"/>
      <c r="Q2" s="6"/>
    </row>
    <row r="3" spans="1:20">
      <c r="A3" t="s">
        <v>0</v>
      </c>
      <c r="B3">
        <v>100</v>
      </c>
      <c r="C3">
        <v>95</v>
      </c>
      <c r="D3">
        <v>99</v>
      </c>
      <c r="E3">
        <v>95</v>
      </c>
      <c r="F3">
        <v>99</v>
      </c>
      <c r="G3">
        <v>100</v>
      </c>
      <c r="H3">
        <v>99</v>
      </c>
      <c r="I3">
        <v>35</v>
      </c>
      <c r="J3">
        <v>100</v>
      </c>
      <c r="K3">
        <v>97</v>
      </c>
      <c r="L3" s="2">
        <f>(SUM(B3:K3)-LARGE(B3:K3,10)-LARGE(B3:K3,9))/8</f>
        <v>98.625</v>
      </c>
      <c r="M3">
        <v>87</v>
      </c>
      <c r="N3">
        <v>99</v>
      </c>
      <c r="O3" s="10">
        <f>SUM(B3:K3)+SUM(M3:N3)</f>
        <v>1105</v>
      </c>
      <c r="P3" s="5">
        <f>SUMPRODUCT($L$2:$N$2,L3:N3)/100</f>
        <v>0.96487499999999993</v>
      </c>
      <c r="Q3" t="str">
        <f>VLOOKUP(P3, $S$3:$T$8,2)</f>
        <v>A</v>
      </c>
      <c r="S3" s="6" t="s">
        <v>55</v>
      </c>
      <c r="T3" s="6" t="s">
        <v>54</v>
      </c>
    </row>
    <row r="4" spans="1:20">
      <c r="A4" t="s">
        <v>4</v>
      </c>
      <c r="B4">
        <v>99</v>
      </c>
      <c r="C4">
        <v>99</v>
      </c>
      <c r="D4">
        <v>97</v>
      </c>
      <c r="E4">
        <v>100</v>
      </c>
      <c r="F4">
        <v>100</v>
      </c>
      <c r="G4">
        <v>100</v>
      </c>
      <c r="H4">
        <v>94</v>
      </c>
      <c r="I4">
        <v>90</v>
      </c>
      <c r="J4">
        <v>50</v>
      </c>
      <c r="K4">
        <v>100</v>
      </c>
      <c r="L4" s="2">
        <f t="shared" ref="L4:L8" si="0">(SUM(B4:K4)-LARGE(B4:K4,10)-LARGE(B4:K4,9))/8</f>
        <v>98.625</v>
      </c>
      <c r="M4">
        <v>93</v>
      </c>
      <c r="N4">
        <v>97</v>
      </c>
      <c r="O4" s="10">
        <f t="shared" ref="O4:O8" si="1">SUM(B4:K4)+SUM(M4:N4)</f>
        <v>1119</v>
      </c>
      <c r="P4" s="5">
        <f t="shared" ref="P4:P8" si="2">SUMPRODUCT($L$2:$N$2,L4:N4)/100</f>
        <v>0.96687500000000004</v>
      </c>
      <c r="Q4" t="str">
        <f t="shared" ref="Q4:Q8" si="3">VLOOKUP(P4, $S$3:$T$8,2)</f>
        <v>A</v>
      </c>
      <c r="S4" s="5">
        <v>0</v>
      </c>
      <c r="T4" t="s">
        <v>56</v>
      </c>
    </row>
    <row r="5" spans="1:20">
      <c r="A5" t="s">
        <v>5</v>
      </c>
      <c r="B5">
        <v>98</v>
      </c>
      <c r="C5">
        <v>45</v>
      </c>
      <c r="D5">
        <v>98</v>
      </c>
      <c r="E5">
        <v>95</v>
      </c>
      <c r="F5">
        <v>99</v>
      </c>
      <c r="G5">
        <v>100</v>
      </c>
      <c r="H5">
        <v>97</v>
      </c>
      <c r="I5">
        <v>99</v>
      </c>
      <c r="J5">
        <v>89</v>
      </c>
      <c r="K5">
        <v>98</v>
      </c>
      <c r="L5" s="2">
        <f t="shared" si="0"/>
        <v>98</v>
      </c>
      <c r="M5">
        <v>85</v>
      </c>
      <c r="N5">
        <v>95</v>
      </c>
      <c r="O5" s="10">
        <f t="shared" si="1"/>
        <v>1098</v>
      </c>
      <c r="P5" s="5">
        <f t="shared" si="2"/>
        <v>0.93900000000000006</v>
      </c>
      <c r="Q5" t="str">
        <f t="shared" si="3"/>
        <v>A</v>
      </c>
      <c r="S5" s="5">
        <v>0.6</v>
      </c>
      <c r="T5" t="s">
        <v>57</v>
      </c>
    </row>
    <row r="6" spans="1:20">
      <c r="A6" t="s">
        <v>6</v>
      </c>
      <c r="B6">
        <v>97</v>
      </c>
      <c r="C6">
        <v>96</v>
      </c>
      <c r="D6">
        <v>95</v>
      </c>
      <c r="E6">
        <v>97</v>
      </c>
      <c r="F6">
        <v>37</v>
      </c>
      <c r="G6">
        <v>100</v>
      </c>
      <c r="H6">
        <v>98</v>
      </c>
      <c r="I6">
        <v>94</v>
      </c>
      <c r="J6">
        <v>90</v>
      </c>
      <c r="K6">
        <v>45</v>
      </c>
      <c r="L6" s="2">
        <f t="shared" si="0"/>
        <v>95.875</v>
      </c>
      <c r="M6">
        <v>86</v>
      </c>
      <c r="N6">
        <v>94</v>
      </c>
      <c r="O6" s="10">
        <f t="shared" si="1"/>
        <v>1029</v>
      </c>
      <c r="P6" s="5">
        <f t="shared" si="2"/>
        <v>0.92962500000000003</v>
      </c>
      <c r="Q6" t="str">
        <f t="shared" si="3"/>
        <v>A</v>
      </c>
      <c r="S6" s="5">
        <v>0.7</v>
      </c>
      <c r="T6" t="s">
        <v>58</v>
      </c>
    </row>
    <row r="7" spans="1:20">
      <c r="A7" t="s">
        <v>7</v>
      </c>
      <c r="B7">
        <v>100</v>
      </c>
      <c r="C7">
        <v>50</v>
      </c>
      <c r="D7">
        <v>100</v>
      </c>
      <c r="E7">
        <v>98</v>
      </c>
      <c r="F7">
        <v>65</v>
      </c>
      <c r="G7">
        <v>100</v>
      </c>
      <c r="H7">
        <v>99</v>
      </c>
      <c r="I7">
        <v>95</v>
      </c>
      <c r="J7">
        <v>95</v>
      </c>
      <c r="K7">
        <v>97</v>
      </c>
      <c r="L7" s="2">
        <f t="shared" si="0"/>
        <v>98</v>
      </c>
      <c r="M7">
        <v>91</v>
      </c>
      <c r="N7">
        <v>91</v>
      </c>
      <c r="O7" s="10">
        <f t="shared" si="1"/>
        <v>1081</v>
      </c>
      <c r="P7" s="5">
        <f t="shared" si="2"/>
        <v>0.93099999999999994</v>
      </c>
      <c r="Q7" t="str">
        <f t="shared" si="3"/>
        <v>A</v>
      </c>
      <c r="S7" s="5">
        <v>0.8</v>
      </c>
      <c r="T7" t="s">
        <v>59</v>
      </c>
    </row>
    <row r="8" spans="1:20" ht="15.75" thickBot="1">
      <c r="A8" s="4" t="s">
        <v>8</v>
      </c>
      <c r="B8" s="4">
        <v>99</v>
      </c>
      <c r="C8" s="4">
        <v>100</v>
      </c>
      <c r="D8" s="4">
        <v>99</v>
      </c>
      <c r="E8" s="4">
        <v>45</v>
      </c>
      <c r="F8" s="4">
        <v>99</v>
      </c>
      <c r="G8" s="4">
        <v>100</v>
      </c>
      <c r="H8" s="4">
        <v>100</v>
      </c>
      <c r="I8" s="4">
        <v>97</v>
      </c>
      <c r="J8" s="4">
        <v>99</v>
      </c>
      <c r="K8" s="4">
        <v>99</v>
      </c>
      <c r="L8" s="12">
        <f t="shared" si="0"/>
        <v>99.375</v>
      </c>
      <c r="M8" s="4">
        <v>87</v>
      </c>
      <c r="N8" s="4">
        <v>89</v>
      </c>
      <c r="O8" s="11">
        <f t="shared" si="1"/>
        <v>1113</v>
      </c>
      <c r="P8" s="8">
        <f t="shared" si="2"/>
        <v>0.91712500000000008</v>
      </c>
      <c r="Q8" t="str">
        <f t="shared" si="3"/>
        <v>A</v>
      </c>
      <c r="S8" s="5">
        <v>0.9</v>
      </c>
      <c r="T8" t="s">
        <v>60</v>
      </c>
    </row>
    <row r="9" spans="1:20" ht="15.75" thickTop="1">
      <c r="A9" t="s">
        <v>52</v>
      </c>
      <c r="B9" s="3">
        <f>AVERAGE(B3:B8)</f>
        <v>98.833333333333329</v>
      </c>
      <c r="C9" s="3">
        <f t="shared" ref="C9:P9" si="4">AVERAGE(C3:C8)</f>
        <v>80.833333333333329</v>
      </c>
      <c r="D9" s="3">
        <f t="shared" si="4"/>
        <v>98</v>
      </c>
      <c r="E9" s="3">
        <f t="shared" si="4"/>
        <v>88.333333333333329</v>
      </c>
      <c r="F9" s="3">
        <f t="shared" si="4"/>
        <v>83.166666666666671</v>
      </c>
      <c r="G9" s="3">
        <f t="shared" si="4"/>
        <v>100</v>
      </c>
      <c r="H9" s="3">
        <f t="shared" si="4"/>
        <v>97.833333333333329</v>
      </c>
      <c r="I9" s="3">
        <f t="shared" si="4"/>
        <v>85</v>
      </c>
      <c r="J9" s="3">
        <f t="shared" si="4"/>
        <v>87.166666666666671</v>
      </c>
      <c r="K9" s="3">
        <f t="shared" si="4"/>
        <v>89.333333333333329</v>
      </c>
      <c r="L9" s="3">
        <f t="shared" si="4"/>
        <v>98.083333333333329</v>
      </c>
      <c r="M9" s="3">
        <f t="shared" si="4"/>
        <v>88.166666666666671</v>
      </c>
      <c r="N9" s="3">
        <f t="shared" si="4"/>
        <v>94.166666666666671</v>
      </c>
      <c r="O9" s="3">
        <f>AVERAGE(O3:O8)</f>
        <v>1090.8333333333333</v>
      </c>
      <c r="P9" s="9">
        <f t="shared" si="4"/>
        <v>0.94141666666666668</v>
      </c>
      <c r="Q9" s="3"/>
    </row>
    <row r="10" spans="1:20">
      <c r="A10" t="s">
        <v>53</v>
      </c>
      <c r="B10" s="3">
        <f>STDEV(B3:B8)</f>
        <v>1.1690451944502196</v>
      </c>
      <c r="C10" s="3">
        <f t="shared" ref="C10:P10" si="5">STDEV(C3:C8)</f>
        <v>25.933890311071096</v>
      </c>
      <c r="D10" s="3">
        <f t="shared" si="5"/>
        <v>1.7888543819998317</v>
      </c>
      <c r="E10" s="3">
        <f t="shared" si="5"/>
        <v>21.31353247743478</v>
      </c>
      <c r="F10" s="3">
        <f t="shared" si="5"/>
        <v>26.445541527196358</v>
      </c>
      <c r="G10" s="3">
        <f t="shared" si="5"/>
        <v>0</v>
      </c>
      <c r="H10" s="3">
        <f t="shared" si="5"/>
        <v>2.1369760566433942</v>
      </c>
      <c r="I10" s="3">
        <f t="shared" si="5"/>
        <v>24.681977230359809</v>
      </c>
      <c r="J10" s="3">
        <f t="shared" si="5"/>
        <v>18.755443654221224</v>
      </c>
      <c r="K10" s="3">
        <f t="shared" si="5"/>
        <v>21.750095785229711</v>
      </c>
      <c r="L10" s="3">
        <f t="shared" ref="L10" si="6">STDEV(L3:L8)</f>
        <v>1.1954775893621561</v>
      </c>
      <c r="M10" s="3">
        <f t="shared" si="5"/>
        <v>3.1251666622225369</v>
      </c>
      <c r="N10" s="3">
        <f t="shared" si="5"/>
        <v>3.7103458958252333</v>
      </c>
      <c r="O10" s="3">
        <f>STDEV(O3:O8)</f>
        <v>33.035839124602305</v>
      </c>
      <c r="P10" s="3">
        <f t="shared" si="5"/>
        <v>2.0208393470700872E-2</v>
      </c>
      <c r="Q10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1"/>
  <sheetViews>
    <sheetView workbookViewId="0">
      <selection activeCell="H4" sqref="H4"/>
    </sheetView>
  </sheetViews>
  <sheetFormatPr defaultRowHeight="15"/>
  <cols>
    <col min="1" max="1" width="12.5703125" customWidth="1"/>
    <col min="7" max="7" width="11.42578125" bestFit="1" customWidth="1"/>
    <col min="8" max="8" width="8" bestFit="1" customWidth="1"/>
    <col min="9" max="9" width="11.42578125" bestFit="1" customWidth="1"/>
  </cols>
  <sheetData>
    <row r="1" spans="1:13">
      <c r="B1" t="s">
        <v>3</v>
      </c>
      <c r="C1" t="s">
        <v>41</v>
      </c>
      <c r="D1" t="s">
        <v>42</v>
      </c>
      <c r="E1" t="s">
        <v>43</v>
      </c>
      <c r="F1" t="s">
        <v>65</v>
      </c>
      <c r="G1" t="s">
        <v>46</v>
      </c>
      <c r="H1" t="s">
        <v>47</v>
      </c>
      <c r="I1" t="s">
        <v>48</v>
      </c>
    </row>
    <row r="2" spans="1:13">
      <c r="A2" t="s">
        <v>63</v>
      </c>
      <c r="B2" s="1">
        <v>0.5</v>
      </c>
      <c r="C2" s="5"/>
      <c r="D2" s="5"/>
      <c r="E2" s="5"/>
      <c r="F2" s="5">
        <f>1-B2</f>
        <v>0.5</v>
      </c>
      <c r="L2" s="6" t="s">
        <v>55</v>
      </c>
      <c r="M2" s="6" t="s">
        <v>54</v>
      </c>
    </row>
    <row r="3" spans="1:13">
      <c r="A3" s="6" t="s">
        <v>64</v>
      </c>
      <c r="B3" s="13">
        <f>(100/3)%</f>
        <v>0.33333333333333337</v>
      </c>
      <c r="C3" s="13"/>
      <c r="D3" s="13"/>
      <c r="E3" s="13"/>
      <c r="F3" s="13">
        <f>1-B3</f>
        <v>0.66666666666666663</v>
      </c>
      <c r="G3" s="6"/>
      <c r="H3" s="6"/>
      <c r="I3" s="6"/>
      <c r="L3" s="5">
        <v>0</v>
      </c>
      <c r="M3" t="s">
        <v>56</v>
      </c>
    </row>
    <row r="4" spans="1:13">
      <c r="A4" t="s">
        <v>0</v>
      </c>
      <c r="B4">
        <v>87</v>
      </c>
      <c r="C4">
        <v>91</v>
      </c>
      <c r="D4">
        <v>87</v>
      </c>
      <c r="E4">
        <v>87</v>
      </c>
      <c r="F4" s="2">
        <f t="shared" ref="F4:F9" si="0">AVERAGE(C4:E4)</f>
        <v>88.333333333333329</v>
      </c>
      <c r="G4">
        <f>SUM(B4:E4)</f>
        <v>352</v>
      </c>
      <c r="H4" s="5">
        <f>IF(B4&gt;F4, $B$2*B4+$F$2*F4, $B$3*B4+$F$3*F4)/100</f>
        <v>0.87888888888888883</v>
      </c>
      <c r="I4" t="str">
        <f>VLOOKUP(H4, $L$3:$M$7,2)</f>
        <v>B</v>
      </c>
      <c r="L4" s="5">
        <v>0.6</v>
      </c>
      <c r="M4" t="s">
        <v>57</v>
      </c>
    </row>
    <row r="5" spans="1:13">
      <c r="A5" t="s">
        <v>4</v>
      </c>
      <c r="B5">
        <v>88</v>
      </c>
      <c r="C5">
        <v>85</v>
      </c>
      <c r="D5">
        <v>79</v>
      </c>
      <c r="E5">
        <v>76</v>
      </c>
      <c r="F5" s="2">
        <f t="shared" si="0"/>
        <v>80</v>
      </c>
      <c r="G5">
        <f t="shared" ref="G5:G9" si="1">SUM(B5:E5)</f>
        <v>328</v>
      </c>
      <c r="H5" s="5">
        <f t="shared" ref="H5:H9" si="2">IF(B5&gt;F5, $B$2*B5+$F$2*F5, $B$3*B5+$F$3*F5)/100</f>
        <v>0.84</v>
      </c>
      <c r="I5" t="str">
        <f t="shared" ref="I5:I10" si="3">VLOOKUP(H5, $L$3:$M$7,2)</f>
        <v>B</v>
      </c>
      <c r="L5" s="5">
        <v>0.7</v>
      </c>
      <c r="M5" t="s">
        <v>58</v>
      </c>
    </row>
    <row r="6" spans="1:13">
      <c r="A6" t="s">
        <v>5</v>
      </c>
      <c r="B6">
        <v>89</v>
      </c>
      <c r="C6">
        <v>93</v>
      </c>
      <c r="D6">
        <v>85</v>
      </c>
      <c r="E6">
        <v>91</v>
      </c>
      <c r="F6" s="2">
        <f t="shared" si="0"/>
        <v>89.666666666666671</v>
      </c>
      <c r="G6">
        <f t="shared" si="1"/>
        <v>358</v>
      </c>
      <c r="H6" s="5">
        <f t="shared" si="2"/>
        <v>0.8944444444444446</v>
      </c>
      <c r="I6" t="str">
        <f t="shared" si="3"/>
        <v>B</v>
      </c>
      <c r="L6" s="5">
        <v>0.8</v>
      </c>
      <c r="M6" t="s">
        <v>59</v>
      </c>
    </row>
    <row r="7" spans="1:13">
      <c r="A7" t="s">
        <v>6</v>
      </c>
      <c r="B7">
        <v>91</v>
      </c>
      <c r="C7">
        <v>87</v>
      </c>
      <c r="D7">
        <v>91</v>
      </c>
      <c r="E7">
        <v>93</v>
      </c>
      <c r="F7" s="2">
        <f t="shared" si="0"/>
        <v>90.333333333333329</v>
      </c>
      <c r="G7">
        <f t="shared" si="1"/>
        <v>362</v>
      </c>
      <c r="H7" s="5">
        <f t="shared" si="2"/>
        <v>0.90666666666666662</v>
      </c>
      <c r="I7" t="str">
        <f t="shared" si="3"/>
        <v>A</v>
      </c>
      <c r="L7" s="5">
        <v>0.9</v>
      </c>
      <c r="M7" t="s">
        <v>60</v>
      </c>
    </row>
    <row r="8" spans="1:13">
      <c r="A8" t="s">
        <v>7</v>
      </c>
      <c r="B8">
        <v>93</v>
      </c>
      <c r="C8">
        <v>91</v>
      </c>
      <c r="D8">
        <v>87</v>
      </c>
      <c r="E8">
        <v>97</v>
      </c>
      <c r="F8" s="2">
        <f t="shared" si="0"/>
        <v>91.666666666666671</v>
      </c>
      <c r="G8">
        <f t="shared" si="1"/>
        <v>368</v>
      </c>
      <c r="H8" s="5">
        <f t="shared" si="2"/>
        <v>0.92333333333333345</v>
      </c>
      <c r="I8" t="str">
        <f t="shared" si="3"/>
        <v>A</v>
      </c>
    </row>
    <row r="9" spans="1:13" ht="15.75" thickBot="1">
      <c r="A9" s="4" t="s">
        <v>8</v>
      </c>
      <c r="B9" s="4">
        <v>94</v>
      </c>
      <c r="C9" s="4">
        <v>93</v>
      </c>
      <c r="D9" s="4">
        <v>88</v>
      </c>
      <c r="E9" s="4">
        <v>90</v>
      </c>
      <c r="F9" s="12">
        <f t="shared" si="0"/>
        <v>90.333333333333329</v>
      </c>
      <c r="G9" s="4">
        <f t="shared" si="1"/>
        <v>365</v>
      </c>
      <c r="H9" s="8">
        <f t="shared" si="2"/>
        <v>0.92166666666666652</v>
      </c>
      <c r="I9" s="4" t="str">
        <f t="shared" si="3"/>
        <v>A</v>
      </c>
    </row>
    <row r="10" spans="1:13" ht="15.75" thickTop="1">
      <c r="A10" t="s">
        <v>52</v>
      </c>
      <c r="B10" s="3">
        <f t="shared" ref="B10:H10" si="4">AVERAGE(B4:B9)</f>
        <v>90.333333333333329</v>
      </c>
      <c r="C10" s="3">
        <f t="shared" si="4"/>
        <v>90</v>
      </c>
      <c r="D10" s="3">
        <f t="shared" si="4"/>
        <v>86.166666666666671</v>
      </c>
      <c r="E10" s="3">
        <f t="shared" si="4"/>
        <v>89</v>
      </c>
      <c r="F10" s="3">
        <f t="shared" si="4"/>
        <v>88.3888888888889</v>
      </c>
      <c r="G10" s="3">
        <f t="shared" si="4"/>
        <v>355.5</v>
      </c>
      <c r="H10" s="9">
        <f t="shared" si="4"/>
        <v>0.89416666666666667</v>
      </c>
      <c r="I10" t="str">
        <f t="shared" si="3"/>
        <v>B</v>
      </c>
    </row>
    <row r="11" spans="1:13">
      <c r="A11" t="s">
        <v>53</v>
      </c>
      <c r="B11" s="3">
        <f t="shared" ref="B11:H11" si="5">STDEV(B4:B9)</f>
        <v>2.8047578623951037</v>
      </c>
      <c r="C11" s="3">
        <f t="shared" si="5"/>
        <v>3.2863353450309969</v>
      </c>
      <c r="D11" s="3">
        <f t="shared" si="5"/>
        <v>4.0207793606050002</v>
      </c>
      <c r="E11" s="3">
        <f t="shared" si="5"/>
        <v>7.1833139984271881</v>
      </c>
      <c r="F11" s="3">
        <f t="shared" si="5"/>
        <v>4.2500544658818251</v>
      </c>
      <c r="G11" s="3">
        <f t="shared" si="5"/>
        <v>14.584238067173752</v>
      </c>
      <c r="H11" s="3">
        <f t="shared" si="5"/>
        <v>3.1402897562305312E-2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Sheet1.</vt:lpstr>
      <vt:lpstr>Sheet2</vt:lpstr>
      <vt:lpstr>Sheet3</vt:lpstr>
      <vt:lpstr>Sheet4</vt:lpstr>
      <vt:lpstr>Sheet5</vt:lpstr>
      <vt:lpstr>Sheet6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Rose, Matt</dc:creator>
  <cp:lastModifiedBy>Kent Pearce</cp:lastModifiedBy>
  <dcterms:created xsi:type="dcterms:W3CDTF">2011-10-06T19:11:10Z</dcterms:created>
  <dcterms:modified xsi:type="dcterms:W3CDTF">2011-10-27T18:57:25Z</dcterms:modified>
</cp:coreProperties>
</file>