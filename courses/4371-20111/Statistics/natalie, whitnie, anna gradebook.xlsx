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autoCompressPictures="0" defaultThemeVersion="124226"/>
  <bookViews>
    <workbookView xWindow="480" yWindow="75" windowWidth="14355" windowHeight="7995"/>
  </bookViews>
  <sheets>
    <sheet name="Sheet 1" sheetId="6" r:id="rId1"/>
    <sheet name="Sheet 2" sheetId="1" r:id="rId2"/>
    <sheet name="Sheet 3" sheetId="2" r:id="rId3"/>
    <sheet name="Sheet 4" sheetId="3" r:id="rId4"/>
    <sheet name="Sheet 5" sheetId="4" r:id="rId5"/>
    <sheet name="Sheet 6" sheetId="5" r:id="rId6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P11" i="6"/>
  <c r="Q10"/>
  <c r="P2"/>
  <c r="P3"/>
  <c r="P4"/>
  <c r="P5"/>
  <c r="P6"/>
  <c r="P7"/>
  <c r="P10"/>
  <c r="O10"/>
  <c r="N10"/>
  <c r="M10"/>
  <c r="L10"/>
  <c r="K10"/>
  <c r="J10"/>
  <c r="I10"/>
  <c r="H10"/>
  <c r="G10"/>
  <c r="F10"/>
  <c r="E10"/>
  <c r="D10"/>
  <c r="C10"/>
  <c r="B10"/>
  <c r="Q9"/>
  <c r="P9"/>
  <c r="O9"/>
  <c r="N9"/>
  <c r="M9"/>
  <c r="L9"/>
  <c r="K9"/>
  <c r="J9"/>
  <c r="I9"/>
  <c r="H9"/>
  <c r="G9"/>
  <c r="F9"/>
  <c r="E9"/>
  <c r="D9"/>
  <c r="C9"/>
  <c r="B9"/>
  <c r="H10" i="1"/>
  <c r="G2"/>
  <c r="G3"/>
  <c r="G4"/>
  <c r="G5"/>
  <c r="G6"/>
  <c r="G7"/>
  <c r="G10"/>
  <c r="F10"/>
  <c r="E10"/>
  <c r="D10"/>
  <c r="C10"/>
  <c r="B10"/>
  <c r="G9"/>
  <c r="F9"/>
  <c r="E9"/>
  <c r="D9"/>
  <c r="C9"/>
  <c r="B9"/>
  <c r="F10" i="2"/>
  <c r="E2"/>
  <c r="E3"/>
  <c r="E4"/>
  <c r="E5"/>
  <c r="E6"/>
  <c r="E7"/>
  <c r="E10"/>
  <c r="D10"/>
  <c r="C10"/>
  <c r="B10"/>
  <c r="F9"/>
  <c r="E9"/>
  <c r="D9"/>
  <c r="C9"/>
  <c r="B9"/>
  <c r="O10" i="3"/>
  <c r="N2"/>
  <c r="N3"/>
  <c r="N4"/>
  <c r="N5"/>
  <c r="N6"/>
  <c r="N7"/>
  <c r="N10"/>
  <c r="M10"/>
  <c r="L10"/>
  <c r="K10"/>
  <c r="J10"/>
  <c r="I10"/>
  <c r="H10"/>
  <c r="G10"/>
  <c r="F10"/>
  <c r="E10"/>
  <c r="D10"/>
  <c r="C10"/>
  <c r="B10"/>
  <c r="O9"/>
  <c r="N9"/>
  <c r="M9"/>
  <c r="L9"/>
  <c r="K9"/>
  <c r="J9"/>
  <c r="I9"/>
  <c r="H9"/>
  <c r="G9"/>
  <c r="F9"/>
  <c r="E9"/>
  <c r="D9"/>
  <c r="C9"/>
  <c r="B9"/>
  <c r="O10" i="4"/>
  <c r="N2"/>
  <c r="N3"/>
  <c r="N4"/>
  <c r="N5"/>
  <c r="N6"/>
  <c r="N7"/>
  <c r="N10"/>
  <c r="M10"/>
  <c r="L10"/>
  <c r="K10"/>
  <c r="J10"/>
  <c r="I10"/>
  <c r="H10"/>
  <c r="G10"/>
  <c r="F10"/>
  <c r="E10"/>
  <c r="D10"/>
  <c r="C10"/>
  <c r="B10"/>
  <c r="O9"/>
  <c r="N9"/>
  <c r="M9"/>
  <c r="L9"/>
  <c r="K9"/>
  <c r="J9"/>
  <c r="I9"/>
  <c r="H9"/>
  <c r="G9"/>
  <c r="F9"/>
  <c r="E9"/>
  <c r="D9"/>
  <c r="C9"/>
  <c r="B9"/>
  <c r="G10" i="5"/>
  <c r="F2"/>
  <c r="F4"/>
  <c r="F5"/>
  <c r="F6"/>
  <c r="F10"/>
  <c r="E10"/>
  <c r="D10"/>
  <c r="C10"/>
  <c r="B10"/>
  <c r="G9"/>
  <c r="F9"/>
  <c r="E9"/>
  <c r="D9"/>
  <c r="C9"/>
  <c r="B9"/>
</calcChain>
</file>

<file path=xl/sharedStrings.xml><?xml version="1.0" encoding="utf-8"?>
<sst xmlns="http://schemas.openxmlformats.org/spreadsheetml/2006/main" count="170" uniqueCount="54">
  <si>
    <t>STUDENT NAME</t>
  </si>
  <si>
    <t>Joe Smith</t>
  </si>
  <si>
    <t>Rebekah Stone</t>
  </si>
  <si>
    <t xml:space="preserve">Sally Johanssen </t>
  </si>
  <si>
    <t>Richardo Lomas</t>
  </si>
  <si>
    <t>Hannah De La Garza</t>
  </si>
  <si>
    <t>Anna Mazzei</t>
  </si>
  <si>
    <t>MID TERM EXAM</t>
  </si>
  <si>
    <t>FINAL EXAM</t>
  </si>
  <si>
    <t>LAB PROJECT 1</t>
  </si>
  <si>
    <t>LAB PROJECT 2</t>
  </si>
  <si>
    <t>LAB PROJECT 3</t>
  </si>
  <si>
    <t>LAB PROJECT 4</t>
  </si>
  <si>
    <t>LAB PROJECT 5</t>
  </si>
  <si>
    <t>LAB PROJECT 6</t>
  </si>
  <si>
    <t>LAB PROJECT 7</t>
  </si>
  <si>
    <t>LAB PROJECT 8</t>
  </si>
  <si>
    <t>LAB PROJECT 9</t>
  </si>
  <si>
    <t>HISTORICAL PROJECT</t>
  </si>
  <si>
    <t>STATISTICS PROJECT</t>
  </si>
  <si>
    <t>FINAL PROJECT</t>
  </si>
  <si>
    <t>GRADE TOTAL</t>
  </si>
  <si>
    <t>CLASS AVERAGE</t>
  </si>
  <si>
    <t>TOTAL AMOUNT OF POINTS POSSIBLE</t>
  </si>
  <si>
    <t>STANDARD DEVIATION</t>
  </si>
  <si>
    <t>PERCENTAGE</t>
  </si>
  <si>
    <t>LETTER GRADE</t>
  </si>
  <si>
    <t>B</t>
  </si>
  <si>
    <t>TEST 1</t>
  </si>
  <si>
    <t>TEST 2</t>
  </si>
  <si>
    <t>TEST 3</t>
  </si>
  <si>
    <t>HOMEWORK</t>
  </si>
  <si>
    <t>FINAL</t>
  </si>
  <si>
    <t>A</t>
  </si>
  <si>
    <t>MIDTERM</t>
  </si>
  <si>
    <t>C</t>
  </si>
  <si>
    <t>HW 1</t>
  </si>
  <si>
    <t>HW 2</t>
  </si>
  <si>
    <t>HW 3</t>
  </si>
  <si>
    <t>HW 4</t>
  </si>
  <si>
    <t>HW 5</t>
  </si>
  <si>
    <t>HW 6</t>
  </si>
  <si>
    <t>HW 7</t>
  </si>
  <si>
    <t>HW 8</t>
  </si>
  <si>
    <t>HW 9</t>
  </si>
  <si>
    <t>HW 10</t>
  </si>
  <si>
    <t>EXAM 1</t>
  </si>
  <si>
    <t>EXAM 2</t>
  </si>
  <si>
    <t>EXAM 3</t>
  </si>
  <si>
    <t>are you going to want to do that if you have Excel available?</t>
  </si>
  <si>
    <t>what if you have 137 students? are you going to want to have to go into their HW grades and drop the lowest two manually for all 137 students??</t>
  </si>
  <si>
    <t>how are you calculating the grades in column f???</t>
  </si>
  <si>
    <t>what if you have 137 students? are you going to want to have to go into their HW grades and drop the lowest grade manually for all 137 students??</t>
  </si>
  <si>
    <t>47/54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</si>
</sst>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Verdana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S14"/>
  <sheetViews>
    <sheetView tabSelected="1" workbookViewId="0">
      <selection activeCell="A14" sqref="A14"/>
    </sheetView>
  </sheetViews>
  <sheetFormatPr defaultColWidth="8.85546875" defaultRowHeight="15"/>
  <cols>
    <col min="1" max="1" width="45" bestFit="1" customWidth="1"/>
    <col min="2" max="2" width="20.42578125" bestFit="1" customWidth="1"/>
    <col min="3" max="3" width="15.140625" bestFit="1" customWidth="1"/>
    <col min="4" max="12" width="17.85546875" bestFit="1" customWidth="1"/>
    <col min="13" max="13" width="25.28515625" bestFit="1" customWidth="1"/>
    <col min="14" max="14" width="24.28515625" bestFit="1" customWidth="1"/>
    <col min="15" max="15" width="18.28515625" bestFit="1" customWidth="1"/>
    <col min="16" max="16" width="16.85546875" bestFit="1" customWidth="1"/>
    <col min="17" max="17" width="16.28515625" bestFit="1" customWidth="1"/>
    <col min="18" max="18" width="17.42578125" bestFit="1" customWidth="1"/>
  </cols>
  <sheetData>
    <row r="1" spans="1:19" ht="18.75">
      <c r="A1" s="4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25</v>
      </c>
      <c r="R1" s="1" t="s">
        <v>26</v>
      </c>
      <c r="S1" s="2"/>
    </row>
    <row r="2" spans="1:19">
      <c r="A2" s="3" t="s">
        <v>1</v>
      </c>
      <c r="B2" s="3">
        <v>86</v>
      </c>
      <c r="C2" s="3">
        <v>94</v>
      </c>
      <c r="D2" s="3">
        <v>38</v>
      </c>
      <c r="E2" s="3">
        <v>48</v>
      </c>
      <c r="F2" s="3">
        <v>50</v>
      </c>
      <c r="G2" s="3">
        <v>46</v>
      </c>
      <c r="H2" s="3">
        <v>39</v>
      </c>
      <c r="I2" s="3">
        <v>39</v>
      </c>
      <c r="J2" s="3">
        <v>48</v>
      </c>
      <c r="K2" s="3">
        <v>40</v>
      </c>
      <c r="L2" s="3">
        <v>50</v>
      </c>
      <c r="M2" s="3">
        <v>85</v>
      </c>
      <c r="N2" s="3">
        <v>78</v>
      </c>
      <c r="O2" s="3">
        <v>98</v>
      </c>
      <c r="P2" s="3">
        <f t="shared" ref="P2:P7" si="0">SUM(B2:O2)</f>
        <v>839</v>
      </c>
      <c r="Q2" s="6">
        <v>0.88315789473684203</v>
      </c>
      <c r="R2" s="3" t="s">
        <v>27</v>
      </c>
    </row>
    <row r="3" spans="1:19">
      <c r="A3" s="3" t="s">
        <v>2</v>
      </c>
      <c r="B3" s="3">
        <v>92</v>
      </c>
      <c r="C3" s="3">
        <v>86</v>
      </c>
      <c r="D3" s="3">
        <v>42</v>
      </c>
      <c r="E3" s="3">
        <v>48</v>
      </c>
      <c r="F3" s="3">
        <v>44</v>
      </c>
      <c r="G3" s="3">
        <v>39</v>
      </c>
      <c r="H3" s="3">
        <v>38</v>
      </c>
      <c r="I3" s="3">
        <v>34</v>
      </c>
      <c r="J3" s="3">
        <v>47</v>
      </c>
      <c r="K3" s="3">
        <v>30</v>
      </c>
      <c r="L3" s="3">
        <v>45</v>
      </c>
      <c r="M3" s="3">
        <v>93</v>
      </c>
      <c r="N3" s="3">
        <v>96</v>
      </c>
      <c r="O3" s="3">
        <v>89</v>
      </c>
      <c r="P3" s="3">
        <f t="shared" si="0"/>
        <v>823</v>
      </c>
      <c r="Q3" s="6">
        <v>0.88631578947368395</v>
      </c>
      <c r="R3" s="3" t="s">
        <v>27</v>
      </c>
    </row>
    <row r="4" spans="1:19">
      <c r="A4" s="3" t="s">
        <v>3</v>
      </c>
      <c r="B4" s="3">
        <v>90</v>
      </c>
      <c r="C4" s="3">
        <v>84</v>
      </c>
      <c r="D4" s="3">
        <v>49</v>
      </c>
      <c r="E4" s="3">
        <v>46</v>
      </c>
      <c r="F4" s="3">
        <v>38</v>
      </c>
      <c r="G4" s="3">
        <v>41</v>
      </c>
      <c r="H4" s="3">
        <v>39</v>
      </c>
      <c r="I4" s="3">
        <v>41</v>
      </c>
      <c r="J4" s="3">
        <v>50</v>
      </c>
      <c r="K4" s="3">
        <v>48</v>
      </c>
      <c r="L4" s="3">
        <v>46</v>
      </c>
      <c r="M4" s="3">
        <v>88</v>
      </c>
      <c r="N4" s="3">
        <v>85</v>
      </c>
      <c r="O4" s="3">
        <v>85</v>
      </c>
      <c r="P4" s="3">
        <f t="shared" si="0"/>
        <v>830</v>
      </c>
      <c r="Q4" s="6">
        <v>0.87368421052631495</v>
      </c>
      <c r="R4" s="3" t="s">
        <v>27</v>
      </c>
    </row>
    <row r="5" spans="1:19">
      <c r="A5" s="3" t="s">
        <v>4</v>
      </c>
      <c r="B5" s="3">
        <v>78</v>
      </c>
      <c r="C5" s="3">
        <v>96</v>
      </c>
      <c r="D5" s="3">
        <v>50</v>
      </c>
      <c r="E5" s="3">
        <v>41</v>
      </c>
      <c r="F5" s="3">
        <v>36</v>
      </c>
      <c r="G5" s="3">
        <v>43</v>
      </c>
      <c r="H5" s="3">
        <v>41</v>
      </c>
      <c r="I5" s="3">
        <v>48</v>
      </c>
      <c r="J5" s="3">
        <v>41</v>
      </c>
      <c r="K5" s="3">
        <v>43</v>
      </c>
      <c r="L5" s="3">
        <v>42</v>
      </c>
      <c r="M5" s="3">
        <v>74</v>
      </c>
      <c r="N5" s="3">
        <v>95</v>
      </c>
      <c r="O5" s="3">
        <v>94</v>
      </c>
      <c r="P5" s="3">
        <f t="shared" si="0"/>
        <v>822</v>
      </c>
      <c r="Q5" s="6">
        <v>0.86526315789473596</v>
      </c>
      <c r="R5" s="3" t="s">
        <v>27</v>
      </c>
    </row>
    <row r="6" spans="1:19">
      <c r="A6" s="3" t="s">
        <v>5</v>
      </c>
      <c r="B6" s="3">
        <v>74</v>
      </c>
      <c r="C6" s="3">
        <v>78</v>
      </c>
      <c r="D6" s="3">
        <v>40</v>
      </c>
      <c r="E6" s="3">
        <v>47</v>
      </c>
      <c r="F6" s="3">
        <v>47</v>
      </c>
      <c r="G6" s="3">
        <v>49</v>
      </c>
      <c r="H6" s="3">
        <v>43</v>
      </c>
      <c r="I6" s="3">
        <v>40</v>
      </c>
      <c r="J6" s="3">
        <v>36</v>
      </c>
      <c r="K6" s="3">
        <v>45</v>
      </c>
      <c r="L6" s="3">
        <v>36</v>
      </c>
      <c r="M6" s="3">
        <v>89</v>
      </c>
      <c r="N6" s="3">
        <v>86</v>
      </c>
      <c r="O6" s="3">
        <v>100</v>
      </c>
      <c r="P6" s="3">
        <f t="shared" si="0"/>
        <v>810</v>
      </c>
      <c r="Q6" s="6">
        <v>0.85263157894736796</v>
      </c>
      <c r="R6" s="3" t="s">
        <v>27</v>
      </c>
    </row>
    <row r="7" spans="1:19">
      <c r="A7" s="3" t="s">
        <v>6</v>
      </c>
      <c r="B7" s="3">
        <v>82</v>
      </c>
      <c r="C7" s="3">
        <v>60</v>
      </c>
      <c r="D7" s="3">
        <v>41</v>
      </c>
      <c r="E7" s="3">
        <v>50</v>
      </c>
      <c r="F7" s="3">
        <v>43</v>
      </c>
      <c r="G7" s="3">
        <v>44</v>
      </c>
      <c r="H7" s="3">
        <v>47</v>
      </c>
      <c r="I7" s="3">
        <v>34</v>
      </c>
      <c r="J7" s="3">
        <v>45</v>
      </c>
      <c r="K7" s="3">
        <v>47</v>
      </c>
      <c r="L7" s="3">
        <v>41</v>
      </c>
      <c r="M7" s="3">
        <v>92</v>
      </c>
      <c r="N7" s="3">
        <v>94</v>
      </c>
      <c r="O7" s="3">
        <v>91</v>
      </c>
      <c r="P7" s="3">
        <f t="shared" si="0"/>
        <v>811</v>
      </c>
      <c r="Q7" s="6">
        <v>0.85368421052631505</v>
      </c>
      <c r="R7" s="3" t="s">
        <v>27</v>
      </c>
    </row>
    <row r="8" spans="1:19">
      <c r="Q8" s="3"/>
      <c r="R8" s="3"/>
    </row>
    <row r="9" spans="1:19" ht="18.75">
      <c r="A9" s="4" t="s">
        <v>22</v>
      </c>
      <c r="B9" s="3">
        <f t="shared" ref="B9:Q9" si="1">AVERAGE(B2:B7)</f>
        <v>83.666666666666671</v>
      </c>
      <c r="C9" s="3">
        <f t="shared" si="1"/>
        <v>83</v>
      </c>
      <c r="D9" s="3">
        <f t="shared" si="1"/>
        <v>43.333333333333336</v>
      </c>
      <c r="E9" s="3">
        <f t="shared" si="1"/>
        <v>46.666666666666664</v>
      </c>
      <c r="F9" s="3">
        <f t="shared" si="1"/>
        <v>43</v>
      </c>
      <c r="G9" s="3">
        <f t="shared" si="1"/>
        <v>43.666666666666664</v>
      </c>
      <c r="H9" s="3">
        <f t="shared" si="1"/>
        <v>41.166666666666664</v>
      </c>
      <c r="I9" s="3">
        <f t="shared" si="1"/>
        <v>39.333333333333336</v>
      </c>
      <c r="J9" s="3">
        <f t="shared" si="1"/>
        <v>44.5</v>
      </c>
      <c r="K9" s="3">
        <f t="shared" si="1"/>
        <v>42.166666666666664</v>
      </c>
      <c r="L9" s="3">
        <f t="shared" si="1"/>
        <v>43.333333333333336</v>
      </c>
      <c r="M9" s="3">
        <f t="shared" si="1"/>
        <v>86.833333333333329</v>
      </c>
      <c r="N9" s="3">
        <f t="shared" si="1"/>
        <v>89</v>
      </c>
      <c r="O9" s="3">
        <f t="shared" si="1"/>
        <v>92.833333333333329</v>
      </c>
      <c r="P9" s="3">
        <f t="shared" si="1"/>
        <v>822.5</v>
      </c>
      <c r="Q9" s="6">
        <f t="shared" si="1"/>
        <v>0.8691228070175433</v>
      </c>
      <c r="R9" s="3"/>
    </row>
    <row r="10" spans="1:19" ht="18.75">
      <c r="A10" s="4" t="s">
        <v>24</v>
      </c>
      <c r="B10" s="3">
        <f t="shared" ref="B10:Q10" si="2">STDEV(B2:B7)</f>
        <v>6.9761498454854847</v>
      </c>
      <c r="C10" s="3">
        <f t="shared" si="2"/>
        <v>13.069047402163633</v>
      </c>
      <c r="D10" s="3">
        <f t="shared" si="2"/>
        <v>4.9665548085837923</v>
      </c>
      <c r="E10" s="3">
        <f t="shared" si="2"/>
        <v>3.07679486912384</v>
      </c>
      <c r="F10" s="3">
        <f t="shared" si="2"/>
        <v>5.2915026221291814</v>
      </c>
      <c r="G10" s="3">
        <f t="shared" si="2"/>
        <v>3.5590260840104544</v>
      </c>
      <c r="H10" s="3">
        <f t="shared" si="2"/>
        <v>3.3714487489307601</v>
      </c>
      <c r="I10" s="3">
        <f t="shared" si="2"/>
        <v>5.2025634707004569</v>
      </c>
      <c r="J10" s="3">
        <f t="shared" si="2"/>
        <v>5.1672042731055257</v>
      </c>
      <c r="K10" s="3">
        <f t="shared" si="2"/>
        <v>6.6156380392723113</v>
      </c>
      <c r="L10" s="3">
        <f t="shared" si="2"/>
        <v>4.802776974487446</v>
      </c>
      <c r="M10" s="3">
        <f t="shared" si="2"/>
        <v>6.9113433330046012</v>
      </c>
      <c r="N10" s="3">
        <f t="shared" si="2"/>
        <v>7.1554175279993268</v>
      </c>
      <c r="O10" s="3">
        <f t="shared" si="2"/>
        <v>5.6361925682740077</v>
      </c>
      <c r="P10" s="3">
        <f t="shared" si="2"/>
        <v>11.113055385446435</v>
      </c>
      <c r="Q10" s="3">
        <f t="shared" si="2"/>
        <v>1.4412470233996468E-2</v>
      </c>
      <c r="R10" s="3"/>
    </row>
    <row r="11" spans="1:19" ht="18.75">
      <c r="A11" s="4" t="s">
        <v>23</v>
      </c>
      <c r="B11" s="5">
        <v>100</v>
      </c>
      <c r="C11" s="5">
        <v>100</v>
      </c>
      <c r="D11" s="5">
        <v>50</v>
      </c>
      <c r="E11" s="5">
        <v>50</v>
      </c>
      <c r="F11" s="5">
        <v>50</v>
      </c>
      <c r="G11" s="5">
        <v>50</v>
      </c>
      <c r="H11" s="5">
        <v>50</v>
      </c>
      <c r="I11" s="5">
        <v>50</v>
      </c>
      <c r="J11" s="5">
        <v>50</v>
      </c>
      <c r="K11" s="5">
        <v>50</v>
      </c>
      <c r="L11" s="5">
        <v>50</v>
      </c>
      <c r="M11" s="5">
        <v>100</v>
      </c>
      <c r="N11" s="5">
        <v>100</v>
      </c>
      <c r="O11" s="5">
        <v>100</v>
      </c>
      <c r="P11" s="5">
        <f>SUM(B11:O11)</f>
        <v>950</v>
      </c>
      <c r="Q11" s="7">
        <v>1</v>
      </c>
      <c r="R11" s="3"/>
    </row>
    <row r="14" spans="1:19" ht="18.75">
      <c r="A14" s="9" t="s">
        <v>53</v>
      </c>
    </row>
  </sheetData>
  <phoneticPr fontId="3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L12"/>
  <sheetViews>
    <sheetView topLeftCell="B1" workbookViewId="0">
      <selection activeCell="G2" sqref="G2"/>
    </sheetView>
  </sheetViews>
  <sheetFormatPr defaultColWidth="8.85546875" defaultRowHeight="15"/>
  <cols>
    <col min="1" max="1" width="45" bestFit="1" customWidth="1"/>
    <col min="2" max="4" width="8.42578125" bestFit="1" customWidth="1"/>
    <col min="5" max="5" width="16" bestFit="1" customWidth="1"/>
    <col min="6" max="6" width="8" bestFit="1" customWidth="1"/>
    <col min="7" max="7" width="17.28515625" bestFit="1" customWidth="1"/>
    <col min="8" max="8" width="16.28515625" bestFit="1" customWidth="1"/>
    <col min="9" max="9" width="18" bestFit="1" customWidth="1"/>
  </cols>
  <sheetData>
    <row r="1" spans="1:12" ht="18.75">
      <c r="A1" s="4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21</v>
      </c>
      <c r="H1" s="1" t="s">
        <v>25</v>
      </c>
      <c r="I1" s="1" t="s">
        <v>26</v>
      </c>
      <c r="J1" s="1"/>
      <c r="K1" s="1"/>
      <c r="L1" s="1"/>
    </row>
    <row r="2" spans="1:12">
      <c r="A2" s="3" t="s">
        <v>1</v>
      </c>
      <c r="B2" s="3">
        <v>85</v>
      </c>
      <c r="C2" s="3">
        <v>78</v>
      </c>
      <c r="D2" s="3">
        <v>98</v>
      </c>
      <c r="E2" s="3">
        <v>85</v>
      </c>
      <c r="F2" s="3">
        <v>71</v>
      </c>
      <c r="G2" s="3">
        <f>B2*0.2+C2*0.2+D2*0.2+E2*0.15+F2*0.25</f>
        <v>82.7</v>
      </c>
      <c r="H2" s="6">
        <v>0.82699999999999996</v>
      </c>
      <c r="I2" s="3" t="s">
        <v>27</v>
      </c>
    </row>
    <row r="3" spans="1:12">
      <c r="A3" s="3" t="s">
        <v>2</v>
      </c>
      <c r="B3" s="3">
        <v>84</v>
      </c>
      <c r="C3" s="3">
        <v>74</v>
      </c>
      <c r="D3" s="3">
        <v>84</v>
      </c>
      <c r="E3" s="3">
        <v>75</v>
      </c>
      <c r="F3" s="3">
        <v>96</v>
      </c>
      <c r="G3" s="3">
        <f t="shared" ref="G3:G7" si="0">B3*0.2+C3*0.2+D3*0.2+E3*0.15+F3*0.25</f>
        <v>83.65</v>
      </c>
      <c r="H3" s="6">
        <v>0.83650000000000002</v>
      </c>
      <c r="I3" s="3" t="s">
        <v>27</v>
      </c>
    </row>
    <row r="4" spans="1:12">
      <c r="A4" s="3" t="s">
        <v>3</v>
      </c>
      <c r="B4" s="3">
        <v>92</v>
      </c>
      <c r="C4" s="3">
        <v>82</v>
      </c>
      <c r="D4" s="3">
        <v>76</v>
      </c>
      <c r="E4" s="3">
        <v>94</v>
      </c>
      <c r="F4" s="3">
        <v>94</v>
      </c>
      <c r="G4" s="3">
        <f t="shared" si="0"/>
        <v>87.600000000000009</v>
      </c>
      <c r="H4" s="6">
        <v>0.876</v>
      </c>
      <c r="I4" s="3" t="s">
        <v>27</v>
      </c>
    </row>
    <row r="5" spans="1:12">
      <c r="A5" s="3" t="s">
        <v>4</v>
      </c>
      <c r="B5" s="3">
        <v>95</v>
      </c>
      <c r="C5" s="3">
        <v>86</v>
      </c>
      <c r="D5" s="3">
        <v>95</v>
      </c>
      <c r="E5" s="3">
        <v>99</v>
      </c>
      <c r="F5" s="3">
        <v>85</v>
      </c>
      <c r="G5" s="3">
        <f t="shared" si="0"/>
        <v>91.3</v>
      </c>
      <c r="H5" s="6">
        <v>0.91300000000000003</v>
      </c>
      <c r="I5" s="3" t="s">
        <v>33</v>
      </c>
    </row>
    <row r="6" spans="1:12">
      <c r="A6" s="3" t="s">
        <v>5</v>
      </c>
      <c r="B6" s="3">
        <v>99</v>
      </c>
      <c r="C6" s="3">
        <v>76</v>
      </c>
      <c r="D6" s="3">
        <v>82</v>
      </c>
      <c r="E6" s="3">
        <v>87</v>
      </c>
      <c r="F6" s="3">
        <v>76</v>
      </c>
      <c r="G6" s="3">
        <f t="shared" si="0"/>
        <v>83.45</v>
      </c>
      <c r="H6" s="6">
        <v>0.83450000000000002</v>
      </c>
      <c r="I6" s="3" t="s">
        <v>27</v>
      </c>
    </row>
    <row r="7" spans="1:12">
      <c r="A7" s="3" t="s">
        <v>6</v>
      </c>
      <c r="B7" s="3">
        <v>78</v>
      </c>
      <c r="C7" s="3">
        <v>85</v>
      </c>
      <c r="D7" s="3">
        <v>91</v>
      </c>
      <c r="E7" s="3">
        <v>92</v>
      </c>
      <c r="F7" s="3">
        <v>91</v>
      </c>
      <c r="G7" s="3">
        <f t="shared" si="0"/>
        <v>87.35</v>
      </c>
      <c r="H7" s="6">
        <v>0.87350000000000005</v>
      </c>
      <c r="I7" s="3" t="s">
        <v>27</v>
      </c>
    </row>
    <row r="8" spans="1:12">
      <c r="B8" s="3"/>
      <c r="C8" s="3"/>
      <c r="D8" s="3"/>
      <c r="E8" s="3"/>
      <c r="F8" s="3"/>
      <c r="G8" s="3"/>
      <c r="H8" s="3"/>
    </row>
    <row r="9" spans="1:12" ht="18.75">
      <c r="A9" s="4" t="s">
        <v>22</v>
      </c>
      <c r="B9" s="3">
        <f>AVERAGE(B2:B7)</f>
        <v>88.833333333333329</v>
      </c>
      <c r="C9" s="3">
        <f t="shared" ref="C9:G9" si="1">AVERAGE(C2:C7)</f>
        <v>80.166666666666671</v>
      </c>
      <c r="D9" s="3">
        <f t="shared" si="1"/>
        <v>87.666666666666671</v>
      </c>
      <c r="E9" s="3">
        <f t="shared" si="1"/>
        <v>88.666666666666671</v>
      </c>
      <c r="F9" s="3">
        <f t="shared" si="1"/>
        <v>85.5</v>
      </c>
      <c r="G9" s="3">
        <f t="shared" si="1"/>
        <v>86.00833333333334</v>
      </c>
      <c r="H9" s="6">
        <v>0.86008333329999997</v>
      </c>
    </row>
    <row r="10" spans="1:12" ht="18.75">
      <c r="A10" s="4" t="s">
        <v>24</v>
      </c>
      <c r="B10" s="3">
        <f>STDEV(B2:B7)</f>
        <v>7.8336879352363242</v>
      </c>
      <c r="C10" s="3">
        <f t="shared" ref="C10:H10" si="2">STDEV(C2:C7)</f>
        <v>4.9159604012509241</v>
      </c>
      <c r="D10" s="3">
        <f t="shared" si="2"/>
        <v>8.4063468086123567</v>
      </c>
      <c r="E10" s="3">
        <f t="shared" si="2"/>
        <v>8.3586282766173507</v>
      </c>
      <c r="F10" s="3">
        <f t="shared" si="2"/>
        <v>10.134100848126586</v>
      </c>
      <c r="G10" s="3">
        <f t="shared" si="2"/>
        <v>3.3282753291553373</v>
      </c>
      <c r="H10" s="3">
        <f t="shared" si="2"/>
        <v>3.3282753291558706E-2</v>
      </c>
    </row>
    <row r="11" spans="1:12" ht="18.75">
      <c r="A11" s="4" t="s">
        <v>23</v>
      </c>
      <c r="B11" s="3">
        <v>100</v>
      </c>
      <c r="C11" s="3">
        <v>100</v>
      </c>
      <c r="D11" s="3">
        <v>100</v>
      </c>
      <c r="E11" s="3">
        <v>100</v>
      </c>
      <c r="F11" s="3">
        <v>100</v>
      </c>
      <c r="G11" s="3">
        <v>100</v>
      </c>
      <c r="H11" s="7">
        <v>1</v>
      </c>
    </row>
    <row r="12" spans="1:12" ht="18.75">
      <c r="A12" s="1"/>
    </row>
  </sheetData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J11"/>
  <sheetViews>
    <sheetView workbookViewId="0">
      <selection activeCell="E2" sqref="E2"/>
    </sheetView>
  </sheetViews>
  <sheetFormatPr defaultColWidth="8.85546875" defaultRowHeight="15"/>
  <cols>
    <col min="1" max="1" width="45" bestFit="1" customWidth="1"/>
    <col min="2" max="2" width="12.7109375" bestFit="1" customWidth="1"/>
    <col min="3" max="3" width="16" bestFit="1" customWidth="1"/>
    <col min="4" max="4" width="8" bestFit="1" customWidth="1"/>
    <col min="5" max="5" width="17.28515625" bestFit="1" customWidth="1"/>
    <col min="6" max="6" width="16.28515625" bestFit="1" customWidth="1"/>
    <col min="7" max="7" width="18" bestFit="1" customWidth="1"/>
  </cols>
  <sheetData>
    <row r="1" spans="1:10" ht="18.75">
      <c r="A1" s="4" t="s">
        <v>0</v>
      </c>
      <c r="B1" s="4" t="s">
        <v>34</v>
      </c>
      <c r="C1" s="4" t="s">
        <v>31</v>
      </c>
      <c r="D1" s="4" t="s">
        <v>32</v>
      </c>
      <c r="E1" s="4" t="s">
        <v>21</v>
      </c>
      <c r="F1" s="4" t="s">
        <v>25</v>
      </c>
      <c r="G1" s="4" t="s">
        <v>26</v>
      </c>
      <c r="H1" s="1"/>
      <c r="I1" s="1"/>
      <c r="J1" s="1"/>
    </row>
    <row r="2" spans="1:10">
      <c r="A2" s="3" t="s">
        <v>1</v>
      </c>
      <c r="B2" s="3">
        <v>78</v>
      </c>
      <c r="C2" s="3">
        <v>89</v>
      </c>
      <c r="D2" s="3">
        <v>64</v>
      </c>
      <c r="E2" s="3">
        <f t="shared" ref="E2:E7" si="0">B2*0.25+C2*0.25+D2*0.5</f>
        <v>73.75</v>
      </c>
      <c r="F2" s="6">
        <v>0.73750000000000004</v>
      </c>
      <c r="G2" s="3" t="s">
        <v>35</v>
      </c>
    </row>
    <row r="3" spans="1:10">
      <c r="A3" s="3" t="s">
        <v>2</v>
      </c>
      <c r="B3" s="3">
        <v>89</v>
      </c>
      <c r="C3" s="3">
        <v>94</v>
      </c>
      <c r="D3" s="3">
        <v>78</v>
      </c>
      <c r="E3" s="3">
        <f t="shared" si="0"/>
        <v>84.75</v>
      </c>
      <c r="F3" s="6">
        <v>0.84750000000000003</v>
      </c>
      <c r="G3" s="3" t="s">
        <v>27</v>
      </c>
    </row>
    <row r="4" spans="1:10">
      <c r="A4" s="3" t="s">
        <v>3</v>
      </c>
      <c r="B4" s="3">
        <v>64</v>
      </c>
      <c r="C4" s="3">
        <v>96</v>
      </c>
      <c r="D4" s="3">
        <v>70</v>
      </c>
      <c r="E4" s="3">
        <f t="shared" si="0"/>
        <v>75</v>
      </c>
      <c r="F4" s="7">
        <v>0.75</v>
      </c>
      <c r="G4" s="3" t="s">
        <v>35</v>
      </c>
    </row>
    <row r="5" spans="1:10">
      <c r="A5" s="3" t="s">
        <v>4</v>
      </c>
      <c r="B5" s="3">
        <v>81</v>
      </c>
      <c r="C5" s="3">
        <v>85</v>
      </c>
      <c r="D5" s="3">
        <v>92</v>
      </c>
      <c r="E5" s="3">
        <f t="shared" si="0"/>
        <v>87.5</v>
      </c>
      <c r="F5" s="6">
        <v>0.875</v>
      </c>
      <c r="G5" s="3" t="s">
        <v>27</v>
      </c>
    </row>
    <row r="6" spans="1:10">
      <c r="A6" s="3" t="s">
        <v>5</v>
      </c>
      <c r="B6" s="3">
        <v>72</v>
      </c>
      <c r="C6" s="3">
        <v>93</v>
      </c>
      <c r="D6" s="3">
        <v>94</v>
      </c>
      <c r="E6" s="3">
        <f t="shared" si="0"/>
        <v>88.25</v>
      </c>
      <c r="F6" s="6">
        <v>0.88249999999999995</v>
      </c>
      <c r="G6" s="3" t="s">
        <v>27</v>
      </c>
    </row>
    <row r="7" spans="1:10">
      <c r="A7" s="3" t="s">
        <v>6</v>
      </c>
      <c r="B7" s="3">
        <v>74</v>
      </c>
      <c r="C7" s="3">
        <v>99</v>
      </c>
      <c r="D7" s="3">
        <v>82</v>
      </c>
      <c r="E7" s="3">
        <f t="shared" si="0"/>
        <v>84.25</v>
      </c>
      <c r="F7" s="6">
        <v>0.84250000000000003</v>
      </c>
      <c r="G7" s="3" t="s">
        <v>27</v>
      </c>
    </row>
    <row r="8" spans="1:10">
      <c r="B8" s="3"/>
      <c r="C8" s="3"/>
      <c r="D8" s="3"/>
      <c r="E8" s="3"/>
      <c r="F8" s="3"/>
      <c r="G8" s="3"/>
    </row>
    <row r="9" spans="1:10" ht="18.75">
      <c r="A9" s="4" t="s">
        <v>22</v>
      </c>
      <c r="B9" s="3">
        <f>AVERAGE(B2:B7)</f>
        <v>76.333333333333329</v>
      </c>
      <c r="C9" s="3">
        <f>AVERAGE(C2:C7)</f>
        <v>92.666666666666671</v>
      </c>
      <c r="D9" s="3">
        <f>AVERAGE(D2:D7)</f>
        <v>80</v>
      </c>
      <c r="E9" s="3">
        <f>AVERAGE(E2:E7)</f>
        <v>82.25</v>
      </c>
      <c r="F9" s="6">
        <f>AVERAGE(F2:F7)</f>
        <v>0.82250000000000012</v>
      </c>
      <c r="G9" s="3"/>
    </row>
    <row r="10" spans="1:10" ht="18.75">
      <c r="A10" s="4" t="s">
        <v>24</v>
      </c>
      <c r="B10" s="3">
        <f>STDEV(B2:B7)</f>
        <v>8.500980335624071</v>
      </c>
      <c r="C10" s="3">
        <f t="shared" ref="C10:F10" si="1">STDEV(C2:C7)</f>
        <v>5.0066622281383388</v>
      </c>
      <c r="D10" s="3">
        <f t="shared" si="1"/>
        <v>11.865917579353061</v>
      </c>
      <c r="E10" s="3">
        <f t="shared" si="1"/>
        <v>6.3027771656627687</v>
      </c>
      <c r="F10" s="3">
        <f t="shared" si="1"/>
        <v>6.3027771656625403E-2</v>
      </c>
      <c r="G10" s="3"/>
    </row>
    <row r="11" spans="1:10" ht="18.75">
      <c r="A11" s="4" t="s">
        <v>23</v>
      </c>
      <c r="B11" s="3">
        <v>100</v>
      </c>
      <c r="C11" s="3">
        <v>100</v>
      </c>
      <c r="D11" s="3">
        <v>100</v>
      </c>
      <c r="E11" s="3">
        <v>100</v>
      </c>
      <c r="F11" s="3">
        <v>100</v>
      </c>
      <c r="G11" s="3"/>
    </row>
  </sheetData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R14"/>
  <sheetViews>
    <sheetView topLeftCell="C1" workbookViewId="0">
      <selection activeCell="K14" sqref="K14"/>
    </sheetView>
  </sheetViews>
  <sheetFormatPr defaultColWidth="8.85546875" defaultRowHeight="15"/>
  <cols>
    <col min="1" max="1" width="45" bestFit="1" customWidth="1"/>
    <col min="3" max="11" width="12" bestFit="1" customWidth="1"/>
    <col min="12" max="12" width="12.7109375" bestFit="1" customWidth="1"/>
    <col min="13" max="13" width="8" bestFit="1" customWidth="1"/>
    <col min="14" max="14" width="17.28515625" bestFit="1" customWidth="1"/>
    <col min="15" max="15" width="16.28515625" bestFit="1" customWidth="1"/>
    <col min="16" max="16" width="18" bestFit="1" customWidth="1"/>
  </cols>
  <sheetData>
    <row r="1" spans="1:18" ht="18.75">
      <c r="A1" s="4" t="s">
        <v>0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34</v>
      </c>
      <c r="M1" s="4" t="s">
        <v>32</v>
      </c>
      <c r="N1" s="4" t="s">
        <v>21</v>
      </c>
      <c r="O1" s="4" t="s">
        <v>25</v>
      </c>
      <c r="P1" s="4" t="s">
        <v>26</v>
      </c>
      <c r="Q1" s="1"/>
      <c r="R1" s="1"/>
    </row>
    <row r="2" spans="1:18">
      <c r="A2" s="3" t="s">
        <v>1</v>
      </c>
      <c r="B2" s="3">
        <v>97</v>
      </c>
      <c r="C2" s="3">
        <v>80</v>
      </c>
      <c r="D2" s="3">
        <v>81</v>
      </c>
      <c r="E2" s="3"/>
      <c r="F2" s="3">
        <v>73</v>
      </c>
      <c r="G2" s="3">
        <v>83</v>
      </c>
      <c r="H2" s="3">
        <v>96</v>
      </c>
      <c r="I2" s="3">
        <v>85</v>
      </c>
      <c r="J2" s="3">
        <v>77</v>
      </c>
      <c r="K2" s="3">
        <v>92</v>
      </c>
      <c r="L2" s="3">
        <v>98</v>
      </c>
      <c r="M2" s="3">
        <v>83</v>
      </c>
      <c r="N2" s="3">
        <f>L2*0.2+M2*0.5+25.467</f>
        <v>86.567000000000007</v>
      </c>
      <c r="O2" s="6">
        <v>0.86567000000000005</v>
      </c>
      <c r="P2" s="3" t="s">
        <v>27</v>
      </c>
    </row>
    <row r="3" spans="1:18">
      <c r="A3" s="3" t="s">
        <v>2</v>
      </c>
      <c r="B3" s="3">
        <v>69</v>
      </c>
      <c r="C3" s="3">
        <v>88</v>
      </c>
      <c r="D3" s="3">
        <v>87</v>
      </c>
      <c r="E3" s="3">
        <v>98</v>
      </c>
      <c r="F3" s="3">
        <v>84</v>
      </c>
      <c r="G3" s="3">
        <v>90</v>
      </c>
      <c r="H3" s="3">
        <v>78</v>
      </c>
      <c r="I3" s="3"/>
      <c r="J3" s="3">
        <v>83</v>
      </c>
      <c r="K3" s="3">
        <v>89</v>
      </c>
      <c r="L3" s="3">
        <v>94</v>
      </c>
      <c r="M3" s="3">
        <v>85</v>
      </c>
      <c r="N3" s="3">
        <f>L3*0.2+M3*0.5+25.533</f>
        <v>86.832999999999998</v>
      </c>
      <c r="O3" s="6">
        <v>0.86833000000000005</v>
      </c>
      <c r="P3" s="3" t="s">
        <v>27</v>
      </c>
    </row>
    <row r="4" spans="1:18">
      <c r="A4" s="3" t="s">
        <v>3</v>
      </c>
      <c r="B4" s="3">
        <v>82</v>
      </c>
      <c r="C4" s="3"/>
      <c r="D4" s="3">
        <v>91</v>
      </c>
      <c r="E4" s="3">
        <v>86</v>
      </c>
      <c r="F4" s="3">
        <v>84</v>
      </c>
      <c r="G4" s="3">
        <v>78</v>
      </c>
      <c r="H4" s="3">
        <v>81</v>
      </c>
      <c r="I4" s="3">
        <v>93</v>
      </c>
      <c r="J4" s="3">
        <v>76</v>
      </c>
      <c r="K4" s="3">
        <v>94</v>
      </c>
      <c r="L4" s="3">
        <v>79</v>
      </c>
      <c r="M4" s="3">
        <v>78</v>
      </c>
      <c r="N4" s="3">
        <f>L4*0.2+M4*0.5+25.5</f>
        <v>80.3</v>
      </c>
      <c r="O4" s="6">
        <v>0.80300000000000005</v>
      </c>
      <c r="P4" s="3" t="s">
        <v>27</v>
      </c>
    </row>
    <row r="5" spans="1:18">
      <c r="A5" s="3" t="s">
        <v>4</v>
      </c>
      <c r="B5" s="3">
        <v>91</v>
      </c>
      <c r="C5" s="3">
        <v>89</v>
      </c>
      <c r="D5" s="3">
        <v>93</v>
      </c>
      <c r="E5" s="3">
        <v>87</v>
      </c>
      <c r="F5" s="3">
        <v>75</v>
      </c>
      <c r="G5" s="3"/>
      <c r="H5" s="3">
        <v>81</v>
      </c>
      <c r="I5" s="3">
        <v>88</v>
      </c>
      <c r="J5" s="3">
        <v>80</v>
      </c>
      <c r="K5" s="3">
        <v>87</v>
      </c>
      <c r="L5" s="3">
        <v>87</v>
      </c>
      <c r="M5" s="3">
        <v>81</v>
      </c>
      <c r="N5" s="3">
        <f>L5*0.2+M5*0.5+25.7</f>
        <v>83.600000000000009</v>
      </c>
      <c r="O5" s="6">
        <v>0.83599999999999997</v>
      </c>
      <c r="P5" s="3" t="s">
        <v>27</v>
      </c>
    </row>
    <row r="6" spans="1:18">
      <c r="A6" s="3" t="s">
        <v>5</v>
      </c>
      <c r="B6" s="3">
        <v>86</v>
      </c>
      <c r="C6" s="3">
        <v>94</v>
      </c>
      <c r="D6" s="3"/>
      <c r="E6" s="3">
        <v>100</v>
      </c>
      <c r="F6" s="3">
        <v>82</v>
      </c>
      <c r="G6" s="3">
        <v>79</v>
      </c>
      <c r="H6" s="3">
        <v>99</v>
      </c>
      <c r="I6" s="3">
        <v>84</v>
      </c>
      <c r="J6" s="3">
        <v>86</v>
      </c>
      <c r="K6" s="3">
        <v>97</v>
      </c>
      <c r="L6" s="3">
        <v>84</v>
      </c>
      <c r="M6" s="3">
        <v>89</v>
      </c>
      <c r="N6" s="3">
        <f>L6*0.2+M6*0.5+26.9</f>
        <v>88.199999999999989</v>
      </c>
      <c r="O6" s="6">
        <v>0.88200000000000001</v>
      </c>
      <c r="P6" s="3" t="s">
        <v>27</v>
      </c>
    </row>
    <row r="7" spans="1:18">
      <c r="A7" s="3" t="s">
        <v>6</v>
      </c>
      <c r="B7" s="3">
        <v>92</v>
      </c>
      <c r="C7" s="3">
        <v>74</v>
      </c>
      <c r="D7" s="3">
        <v>85</v>
      </c>
      <c r="E7" s="3"/>
      <c r="F7" s="3">
        <v>89</v>
      </c>
      <c r="G7" s="3">
        <v>71</v>
      </c>
      <c r="H7" s="3">
        <v>79</v>
      </c>
      <c r="I7" s="3">
        <v>95</v>
      </c>
      <c r="J7" s="3">
        <v>95</v>
      </c>
      <c r="K7" s="3">
        <v>82</v>
      </c>
      <c r="L7" s="3">
        <v>91</v>
      </c>
      <c r="M7" s="3">
        <v>67</v>
      </c>
      <c r="N7" s="3">
        <f>L7*0.2+M7*0.5+25.4</f>
        <v>77.099999999999994</v>
      </c>
      <c r="O7" s="6">
        <v>0.77100000000000002</v>
      </c>
      <c r="P7" s="3" t="s">
        <v>35</v>
      </c>
    </row>
    <row r="8" spans="1:18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8" ht="18.75">
      <c r="A9" s="4" t="s">
        <v>22</v>
      </c>
      <c r="B9" s="3">
        <f>AVERAGE(B2:B7)</f>
        <v>86.166666666666671</v>
      </c>
      <c r="C9" s="3">
        <f t="shared" ref="C9:L9" si="0">AVERAGE(C2:C7)</f>
        <v>85</v>
      </c>
      <c r="D9" s="3">
        <f t="shared" si="0"/>
        <v>87.4</v>
      </c>
      <c r="E9" s="3">
        <f t="shared" si="0"/>
        <v>92.75</v>
      </c>
      <c r="F9" s="3">
        <f t="shared" si="0"/>
        <v>81.166666666666671</v>
      </c>
      <c r="G9" s="3">
        <f t="shared" si="0"/>
        <v>80.2</v>
      </c>
      <c r="H9" s="3">
        <f t="shared" si="0"/>
        <v>85.666666666666671</v>
      </c>
      <c r="I9" s="3">
        <f t="shared" si="0"/>
        <v>89</v>
      </c>
      <c r="J9" s="3">
        <f t="shared" si="0"/>
        <v>82.833333333333329</v>
      </c>
      <c r="K9" s="3">
        <f t="shared" si="0"/>
        <v>90.166666666666671</v>
      </c>
      <c r="L9" s="3">
        <f t="shared" si="0"/>
        <v>88.833333333333329</v>
      </c>
      <c r="M9" s="3">
        <f>AVERAGE(M2:M7)</f>
        <v>80.5</v>
      </c>
      <c r="N9" s="3">
        <f t="shared" ref="N9:O9" si="1">AVERAGE(N2:N7)</f>
        <v>83.766666666666666</v>
      </c>
      <c r="O9" s="3">
        <f t="shared" si="1"/>
        <v>0.83766666666666667</v>
      </c>
      <c r="P9" s="3"/>
    </row>
    <row r="10" spans="1:18" ht="18.75">
      <c r="A10" s="4" t="s">
        <v>24</v>
      </c>
      <c r="B10" s="3">
        <f>STDEV(B2:B7)</f>
        <v>9.8674549234677098</v>
      </c>
      <c r="C10" s="3">
        <f t="shared" ref="C10:O10" si="2">STDEV(C2:C7)</f>
        <v>7.9372539331937721</v>
      </c>
      <c r="D10" s="3">
        <f t="shared" si="2"/>
        <v>4.7749345545252524</v>
      </c>
      <c r="E10" s="3">
        <f t="shared" si="2"/>
        <v>7.2743842809317316</v>
      </c>
      <c r="F10" s="3">
        <f t="shared" si="2"/>
        <v>6.0470378423379456</v>
      </c>
      <c r="G10" s="3">
        <f t="shared" si="2"/>
        <v>6.9785385289471478</v>
      </c>
      <c r="H10" s="3">
        <f t="shared" si="2"/>
        <v>9.287985070329686</v>
      </c>
      <c r="I10" s="3">
        <f t="shared" si="2"/>
        <v>4.8476798574163293</v>
      </c>
      <c r="J10" s="3">
        <f t="shared" si="2"/>
        <v>7.0261416628664088</v>
      </c>
      <c r="K10" s="3">
        <f t="shared" si="2"/>
        <v>5.3447793842839904</v>
      </c>
      <c r="L10" s="3">
        <f t="shared" si="2"/>
        <v>6.9113433330046012</v>
      </c>
      <c r="M10" s="3">
        <f t="shared" si="2"/>
        <v>7.5828754440515507</v>
      </c>
      <c r="N10" s="3">
        <f t="shared" si="2"/>
        <v>4.3217753605046569</v>
      </c>
      <c r="O10" s="3">
        <f t="shared" si="2"/>
        <v>4.3217753605049813E-2</v>
      </c>
      <c r="P10" s="3"/>
    </row>
    <row r="11" spans="1:18" ht="18.75">
      <c r="A11" s="4" t="s">
        <v>23</v>
      </c>
      <c r="B11" s="3">
        <v>100</v>
      </c>
      <c r="C11" s="3">
        <v>100</v>
      </c>
      <c r="D11" s="3">
        <v>100</v>
      </c>
      <c r="E11" s="3">
        <v>100</v>
      </c>
      <c r="F11" s="3">
        <v>100</v>
      </c>
      <c r="G11" s="3">
        <v>100</v>
      </c>
      <c r="H11" s="3">
        <v>100</v>
      </c>
      <c r="I11" s="3">
        <v>100</v>
      </c>
      <c r="J11" s="3">
        <v>100</v>
      </c>
      <c r="K11" s="3">
        <v>100</v>
      </c>
      <c r="L11" s="3">
        <v>100</v>
      </c>
      <c r="M11" s="3">
        <v>100</v>
      </c>
      <c r="N11" s="3">
        <v>100</v>
      </c>
      <c r="O11" s="7">
        <v>1</v>
      </c>
      <c r="P11" s="3"/>
    </row>
    <row r="13" spans="1:18">
      <c r="F13" s="8" t="s">
        <v>52</v>
      </c>
    </row>
    <row r="14" spans="1:18">
      <c r="F14" s="8" t="s">
        <v>49</v>
      </c>
      <c r="K14" s="8">
        <v>-2</v>
      </c>
    </row>
  </sheetData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P14"/>
  <sheetViews>
    <sheetView workbookViewId="0">
      <selection activeCell="B13" sqref="B13:B14"/>
    </sheetView>
  </sheetViews>
  <sheetFormatPr defaultColWidth="8.85546875" defaultRowHeight="15"/>
  <cols>
    <col min="1" max="1" width="45" bestFit="1" customWidth="1"/>
    <col min="12" max="12" width="12.7109375" bestFit="1" customWidth="1"/>
    <col min="14" max="14" width="17.28515625" bestFit="1" customWidth="1"/>
    <col min="15" max="15" width="16.28515625" bestFit="1" customWidth="1"/>
    <col min="16" max="16" width="18" bestFit="1" customWidth="1"/>
  </cols>
  <sheetData>
    <row r="1" spans="1:16" ht="18.75">
      <c r="A1" s="4" t="s">
        <v>0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34</v>
      </c>
      <c r="M1" s="4" t="s">
        <v>32</v>
      </c>
      <c r="N1" s="4" t="s">
        <v>21</v>
      </c>
      <c r="O1" s="4" t="s">
        <v>25</v>
      </c>
      <c r="P1" s="4" t="s">
        <v>26</v>
      </c>
    </row>
    <row r="2" spans="1:16">
      <c r="A2" s="3" t="s">
        <v>1</v>
      </c>
      <c r="B2" s="3">
        <v>97</v>
      </c>
      <c r="C2" s="3">
        <v>80</v>
      </c>
      <c r="D2" s="3">
        <v>81</v>
      </c>
      <c r="E2" s="3"/>
      <c r="F2" s="3"/>
      <c r="G2" s="3">
        <v>83</v>
      </c>
      <c r="H2" s="3">
        <v>96</v>
      </c>
      <c r="I2" s="3">
        <v>85</v>
      </c>
      <c r="J2" s="3">
        <v>77</v>
      </c>
      <c r="K2" s="3">
        <v>92</v>
      </c>
      <c r="L2" s="3">
        <v>98</v>
      </c>
      <c r="M2" s="3">
        <v>83</v>
      </c>
      <c r="N2" s="3">
        <f>L2*0.2+M2*0.5+25.9125</f>
        <v>87.012500000000003</v>
      </c>
      <c r="O2" s="6">
        <v>0.87012500000000004</v>
      </c>
      <c r="P2" s="3" t="s">
        <v>27</v>
      </c>
    </row>
    <row r="3" spans="1:16">
      <c r="A3" s="3" t="s">
        <v>2</v>
      </c>
      <c r="B3" s="3"/>
      <c r="C3" s="3">
        <v>88</v>
      </c>
      <c r="D3" s="3">
        <v>87</v>
      </c>
      <c r="E3" s="3">
        <v>98</v>
      </c>
      <c r="F3" s="3">
        <v>84</v>
      </c>
      <c r="G3" s="3">
        <v>90</v>
      </c>
      <c r="H3" s="3">
        <v>78</v>
      </c>
      <c r="I3" s="3"/>
      <c r="J3" s="3">
        <v>83</v>
      </c>
      <c r="K3" s="3">
        <v>89</v>
      </c>
      <c r="L3" s="3">
        <v>94</v>
      </c>
      <c r="M3" s="3">
        <v>85</v>
      </c>
      <c r="N3" s="3">
        <f>L3*0.2+M3*0.5+26.1375</f>
        <v>87.4375</v>
      </c>
      <c r="O3" s="6">
        <v>0.87437500000000001</v>
      </c>
      <c r="P3" s="3" t="s">
        <v>27</v>
      </c>
    </row>
    <row r="4" spans="1:16">
      <c r="A4" s="3" t="s">
        <v>3</v>
      </c>
      <c r="B4" s="3">
        <v>82</v>
      </c>
      <c r="C4" s="3"/>
      <c r="D4" s="3">
        <v>91</v>
      </c>
      <c r="E4" s="3">
        <v>86</v>
      </c>
      <c r="F4" s="3">
        <v>84</v>
      </c>
      <c r="G4" s="3">
        <v>78</v>
      </c>
      <c r="H4" s="3">
        <v>81</v>
      </c>
      <c r="I4" s="3">
        <v>93</v>
      </c>
      <c r="J4" s="3"/>
      <c r="K4" s="3">
        <v>94</v>
      </c>
      <c r="L4" s="3">
        <v>79</v>
      </c>
      <c r="M4" s="3">
        <v>78</v>
      </c>
      <c r="N4" s="3">
        <f>L4*0.2+M4*0.5+25.8375</f>
        <v>80.637499999999989</v>
      </c>
      <c r="O4" s="6">
        <v>0.80637499999999995</v>
      </c>
      <c r="P4" s="3" t="s">
        <v>27</v>
      </c>
    </row>
    <row r="5" spans="1:16">
      <c r="A5" s="3" t="s">
        <v>4</v>
      </c>
      <c r="B5" s="3">
        <v>91</v>
      </c>
      <c r="C5" s="3">
        <v>89</v>
      </c>
      <c r="D5" s="3">
        <v>93</v>
      </c>
      <c r="E5" s="3">
        <v>87</v>
      </c>
      <c r="F5" s="3"/>
      <c r="G5" s="3"/>
      <c r="H5" s="3">
        <v>81</v>
      </c>
      <c r="I5" s="3">
        <v>88</v>
      </c>
      <c r="J5" s="3">
        <v>80</v>
      </c>
      <c r="K5" s="3">
        <v>87</v>
      </c>
      <c r="L5" s="3">
        <v>87</v>
      </c>
      <c r="M5" s="3">
        <v>81</v>
      </c>
      <c r="N5" s="3">
        <f>L5*0.2+M5*0.5+26.1</f>
        <v>84</v>
      </c>
      <c r="O5" s="7">
        <v>0.84</v>
      </c>
      <c r="P5" s="3" t="s">
        <v>27</v>
      </c>
    </row>
    <row r="6" spans="1:16">
      <c r="A6" s="3" t="s">
        <v>5</v>
      </c>
      <c r="B6" s="3">
        <v>86</v>
      </c>
      <c r="C6" s="3">
        <v>94</v>
      </c>
      <c r="D6" s="3"/>
      <c r="E6" s="3">
        <v>100</v>
      </c>
      <c r="F6" s="3">
        <v>82</v>
      </c>
      <c r="G6" s="3"/>
      <c r="H6" s="3">
        <v>99</v>
      </c>
      <c r="I6" s="3">
        <v>84</v>
      </c>
      <c r="J6" s="3">
        <v>86</v>
      </c>
      <c r="K6" s="3">
        <v>97</v>
      </c>
      <c r="L6" s="3">
        <v>84</v>
      </c>
      <c r="M6" s="3">
        <v>89</v>
      </c>
      <c r="N6" s="3">
        <f>L6*0.2+M6*0.5+27.3</f>
        <v>88.6</v>
      </c>
      <c r="O6" s="6">
        <v>0.88600000000000001</v>
      </c>
      <c r="P6" s="3" t="s">
        <v>27</v>
      </c>
    </row>
    <row r="7" spans="1:16">
      <c r="A7" s="3" t="s">
        <v>6</v>
      </c>
      <c r="B7" s="3">
        <v>92</v>
      </c>
      <c r="C7" s="3">
        <v>74</v>
      </c>
      <c r="D7" s="3">
        <v>85</v>
      </c>
      <c r="E7" s="3"/>
      <c r="F7" s="3">
        <v>89</v>
      </c>
      <c r="G7" s="3"/>
      <c r="H7" s="3">
        <v>79</v>
      </c>
      <c r="I7" s="3">
        <v>95</v>
      </c>
      <c r="J7" s="3">
        <v>95</v>
      </c>
      <c r="K7" s="3">
        <v>82</v>
      </c>
      <c r="L7" s="3">
        <v>91</v>
      </c>
      <c r="M7" s="3">
        <v>67</v>
      </c>
      <c r="N7" s="3">
        <f>L7*0.2+M7*0.5+25.9125</f>
        <v>77.612500000000011</v>
      </c>
      <c r="O7" s="6">
        <v>0.77612499999999995</v>
      </c>
      <c r="P7" s="3" t="s">
        <v>35</v>
      </c>
    </row>
    <row r="8" spans="1:16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8.75">
      <c r="A9" s="4" t="s">
        <v>22</v>
      </c>
      <c r="B9" s="3">
        <f>AVERAGE(B2:B7)</f>
        <v>89.6</v>
      </c>
      <c r="C9" s="3">
        <f t="shared" ref="C9:L9" si="0">AVERAGE(C2:C7)</f>
        <v>85</v>
      </c>
      <c r="D9" s="3">
        <f t="shared" si="0"/>
        <v>87.4</v>
      </c>
      <c r="E9" s="3">
        <f t="shared" si="0"/>
        <v>92.75</v>
      </c>
      <c r="F9" s="3">
        <f t="shared" si="0"/>
        <v>84.75</v>
      </c>
      <c r="G9" s="3">
        <f t="shared" si="0"/>
        <v>83.666666666666671</v>
      </c>
      <c r="H9" s="3">
        <f t="shared" si="0"/>
        <v>85.666666666666671</v>
      </c>
      <c r="I9" s="3">
        <f t="shared" si="0"/>
        <v>89</v>
      </c>
      <c r="J9" s="3">
        <f t="shared" si="0"/>
        <v>84.2</v>
      </c>
      <c r="K9" s="3">
        <f t="shared" si="0"/>
        <v>90.166666666666671</v>
      </c>
      <c r="L9" s="3">
        <f t="shared" si="0"/>
        <v>88.833333333333329</v>
      </c>
      <c r="M9" s="3">
        <f>AVERAGE(M2:M7)</f>
        <v>80.5</v>
      </c>
      <c r="N9" s="3">
        <f t="shared" ref="N9:O9" si="1">AVERAGE(N2:N7)</f>
        <v>84.216666666666669</v>
      </c>
      <c r="O9" s="3">
        <f t="shared" si="1"/>
        <v>0.84216666666666651</v>
      </c>
      <c r="P9" s="3"/>
    </row>
    <row r="10" spans="1:16" ht="18.75">
      <c r="A10" s="4" t="s">
        <v>24</v>
      </c>
      <c r="B10" s="3">
        <f>STDEV(B2:B7)</f>
        <v>5.77061521850134</v>
      </c>
      <c r="C10" s="3">
        <f t="shared" ref="C10:O10" si="2">STDEV(C2:C7)</f>
        <v>7.9372539331937721</v>
      </c>
      <c r="D10" s="3">
        <f t="shared" si="2"/>
        <v>4.7749345545252524</v>
      </c>
      <c r="E10" s="3">
        <f t="shared" si="2"/>
        <v>7.2743842809317316</v>
      </c>
      <c r="F10" s="3">
        <f t="shared" si="2"/>
        <v>2.9860788111948193</v>
      </c>
      <c r="G10" s="3">
        <f t="shared" si="2"/>
        <v>6.0277137733417581</v>
      </c>
      <c r="H10" s="3">
        <f t="shared" si="2"/>
        <v>9.287985070329686</v>
      </c>
      <c r="I10" s="3">
        <f t="shared" si="2"/>
        <v>4.8476798574163293</v>
      </c>
      <c r="J10" s="3">
        <f t="shared" si="2"/>
        <v>6.9065186599328552</v>
      </c>
      <c r="K10" s="3">
        <f t="shared" si="2"/>
        <v>5.3447793842839904</v>
      </c>
      <c r="L10" s="3">
        <f t="shared" si="2"/>
        <v>6.9113433330046012</v>
      </c>
      <c r="M10" s="3">
        <f t="shared" si="2"/>
        <v>7.5828754440515507</v>
      </c>
      <c r="N10" s="3">
        <f t="shared" si="2"/>
        <v>4.3330464648633757</v>
      </c>
      <c r="O10" s="3">
        <f t="shared" si="2"/>
        <v>4.3330464648638663E-2</v>
      </c>
      <c r="P10" s="3"/>
    </row>
    <row r="11" spans="1:16" ht="18.75">
      <c r="A11" s="4" t="s">
        <v>23</v>
      </c>
      <c r="B11" s="3">
        <v>100</v>
      </c>
      <c r="C11" s="3">
        <v>100</v>
      </c>
      <c r="D11" s="3">
        <v>100</v>
      </c>
      <c r="E11" s="3">
        <v>100</v>
      </c>
      <c r="F11" s="3">
        <v>100</v>
      </c>
      <c r="G11" s="3">
        <v>100</v>
      </c>
      <c r="H11" s="3">
        <v>100</v>
      </c>
      <c r="I11" s="3">
        <v>100</v>
      </c>
      <c r="J11" s="3">
        <v>100</v>
      </c>
      <c r="K11" s="3">
        <v>100</v>
      </c>
      <c r="L11" s="3">
        <v>100</v>
      </c>
      <c r="M11" s="3">
        <v>100</v>
      </c>
      <c r="N11" s="3">
        <v>100</v>
      </c>
      <c r="O11" s="7">
        <v>1</v>
      </c>
      <c r="P11" s="3"/>
    </row>
    <row r="13" spans="1:16">
      <c r="B13" s="8" t="s">
        <v>50</v>
      </c>
    </row>
    <row r="14" spans="1:16">
      <c r="B14" s="8" t="s">
        <v>49</v>
      </c>
      <c r="I14" s="8">
        <v>-2</v>
      </c>
    </row>
  </sheetData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I14"/>
  <sheetViews>
    <sheetView topLeftCell="B1" workbookViewId="0">
      <selection activeCell="I14" sqref="F14:I14"/>
    </sheetView>
  </sheetViews>
  <sheetFormatPr defaultColWidth="8.85546875" defaultRowHeight="15"/>
  <cols>
    <col min="1" max="1" width="45" bestFit="1" customWidth="1"/>
    <col min="6" max="6" width="17.28515625" bestFit="1" customWidth="1"/>
    <col min="7" max="7" width="16.28515625" bestFit="1" customWidth="1"/>
    <col min="8" max="8" width="18" bestFit="1" customWidth="1"/>
  </cols>
  <sheetData>
    <row r="1" spans="1:9" ht="18.75">
      <c r="A1" s="4" t="s">
        <v>0</v>
      </c>
      <c r="B1" s="4" t="s">
        <v>46</v>
      </c>
      <c r="C1" s="4" t="s">
        <v>47</v>
      </c>
      <c r="D1" s="4" t="s">
        <v>48</v>
      </c>
      <c r="E1" s="4" t="s">
        <v>32</v>
      </c>
      <c r="F1" s="4" t="s">
        <v>21</v>
      </c>
      <c r="G1" s="4" t="s">
        <v>25</v>
      </c>
      <c r="H1" s="4" t="s">
        <v>26</v>
      </c>
      <c r="I1" s="3"/>
    </row>
    <row r="2" spans="1:9">
      <c r="A2" s="3" t="s">
        <v>1</v>
      </c>
      <c r="B2" s="3">
        <v>70</v>
      </c>
      <c r="C2" s="3">
        <v>83</v>
      </c>
      <c r="D2" s="3">
        <v>100</v>
      </c>
      <c r="E2" s="3">
        <v>88</v>
      </c>
      <c r="F2" s="3">
        <f>42.167+E2*0.5</f>
        <v>86.167000000000002</v>
      </c>
      <c r="G2" s="6">
        <v>0.86167000000000005</v>
      </c>
      <c r="H2" s="3" t="s">
        <v>27</v>
      </c>
      <c r="I2" s="3"/>
    </row>
    <row r="3" spans="1:9">
      <c r="A3" s="3" t="s">
        <v>2</v>
      </c>
      <c r="B3" s="3">
        <v>83</v>
      </c>
      <c r="C3" s="3">
        <v>77</v>
      </c>
      <c r="D3" s="3">
        <v>97</v>
      </c>
      <c r="E3" s="3">
        <v>72</v>
      </c>
      <c r="F3" s="3">
        <v>81.118767000000005</v>
      </c>
      <c r="G3" s="6">
        <v>0.81118767000000003</v>
      </c>
      <c r="H3" s="3" t="s">
        <v>27</v>
      </c>
      <c r="I3" s="3"/>
    </row>
    <row r="4" spans="1:9">
      <c r="A4" s="3" t="s">
        <v>3</v>
      </c>
      <c r="B4" s="3">
        <v>97</v>
      </c>
      <c r="C4" s="3">
        <v>86</v>
      </c>
      <c r="D4" s="3">
        <v>96</v>
      </c>
      <c r="E4" s="3">
        <v>99</v>
      </c>
      <c r="F4" s="3">
        <f>46.5+E4*0.5</f>
        <v>96</v>
      </c>
      <c r="G4" s="7">
        <v>0.96</v>
      </c>
      <c r="H4" s="3" t="s">
        <v>33</v>
      </c>
      <c r="I4" s="3"/>
    </row>
    <row r="5" spans="1:9">
      <c r="A5" s="3" t="s">
        <v>4</v>
      </c>
      <c r="B5" s="3">
        <v>95</v>
      </c>
      <c r="C5" s="3">
        <v>84</v>
      </c>
      <c r="D5" s="3">
        <v>77</v>
      </c>
      <c r="E5" s="3">
        <v>93</v>
      </c>
      <c r="F5" s="3">
        <f>42.67+E5*0.5</f>
        <v>89.17</v>
      </c>
      <c r="G5" s="6">
        <v>0.89170000000000005</v>
      </c>
      <c r="H5" s="3" t="s">
        <v>27</v>
      </c>
      <c r="I5" s="3"/>
    </row>
    <row r="6" spans="1:9">
      <c r="A6" s="3" t="s">
        <v>5</v>
      </c>
      <c r="B6" s="3">
        <v>74</v>
      </c>
      <c r="C6" s="3">
        <v>79</v>
      </c>
      <c r="D6" s="3">
        <v>73</v>
      </c>
      <c r="E6" s="3">
        <v>87</v>
      </c>
      <c r="F6" s="3">
        <f>37.67+E6*0.5</f>
        <v>81.17</v>
      </c>
      <c r="G6" s="6">
        <v>0.81169999999999998</v>
      </c>
      <c r="H6" s="3" t="s">
        <v>27</v>
      </c>
      <c r="I6" s="3"/>
    </row>
    <row r="7" spans="1:9">
      <c r="A7" s="3" t="s">
        <v>6</v>
      </c>
      <c r="B7" s="3">
        <v>89</v>
      </c>
      <c r="C7" s="3">
        <v>91</v>
      </c>
      <c r="D7" s="3">
        <v>87</v>
      </c>
      <c r="E7" s="3">
        <v>81</v>
      </c>
      <c r="F7" s="3">
        <v>86.341700000000003</v>
      </c>
      <c r="G7" s="6">
        <v>0.86341699999999999</v>
      </c>
      <c r="H7" s="3" t="s">
        <v>27</v>
      </c>
      <c r="I7" s="3"/>
    </row>
    <row r="8" spans="1:9">
      <c r="B8" s="3"/>
      <c r="C8" s="3"/>
      <c r="D8" s="3"/>
      <c r="E8" s="3"/>
      <c r="F8" s="3"/>
      <c r="G8" s="3"/>
      <c r="H8" s="3"/>
      <c r="I8" s="3"/>
    </row>
    <row r="9" spans="1:9" ht="18.75">
      <c r="A9" s="4" t="s">
        <v>22</v>
      </c>
      <c r="B9" s="3">
        <f>AVERAGE(B2:B7)</f>
        <v>84.666666666666671</v>
      </c>
      <c r="C9" s="3">
        <f t="shared" ref="C9:G9" si="0">AVERAGE(C2:C7)</f>
        <v>83.333333333333329</v>
      </c>
      <c r="D9" s="3">
        <f t="shared" si="0"/>
        <v>88.333333333333329</v>
      </c>
      <c r="E9" s="3">
        <f t="shared" si="0"/>
        <v>86.666666666666671</v>
      </c>
      <c r="F9" s="3">
        <f t="shared" si="0"/>
        <v>86.661244500000009</v>
      </c>
      <c r="G9" s="3">
        <f t="shared" si="0"/>
        <v>0.86661244500000001</v>
      </c>
      <c r="H9" s="3"/>
      <c r="I9" s="3"/>
    </row>
    <row r="10" spans="1:9" ht="18.75">
      <c r="A10" s="4" t="s">
        <v>24</v>
      </c>
      <c r="B10" s="3">
        <f>STDEV(B2:B7)</f>
        <v>11.03932365077984</v>
      </c>
      <c r="C10" s="3">
        <f t="shared" ref="C10:G10" si="1">STDEV(C2:C7)</f>
        <v>5.0066622281383388</v>
      </c>
      <c r="D10" s="3">
        <f t="shared" si="1"/>
        <v>11.27238513654795</v>
      </c>
      <c r="E10" s="3">
        <f t="shared" si="1"/>
        <v>9.395034149308195</v>
      </c>
      <c r="F10" s="3">
        <f t="shared" si="1"/>
        <v>5.562830534136304</v>
      </c>
      <c r="G10" s="3">
        <f t="shared" si="1"/>
        <v>5.5628305341365689E-2</v>
      </c>
      <c r="H10" s="3"/>
      <c r="I10" s="3"/>
    </row>
    <row r="11" spans="1:9" ht="18.75">
      <c r="A11" s="4" t="s">
        <v>23</v>
      </c>
      <c r="B11" s="3">
        <v>100</v>
      </c>
      <c r="C11" s="3">
        <v>100</v>
      </c>
      <c r="D11" s="3">
        <v>100</v>
      </c>
      <c r="E11" s="3">
        <v>100</v>
      </c>
      <c r="F11" s="3">
        <v>100</v>
      </c>
      <c r="G11" s="7">
        <v>1</v>
      </c>
      <c r="H11" s="3"/>
      <c r="I11" s="3"/>
    </row>
    <row r="14" spans="1:9">
      <c r="F14" s="8" t="s">
        <v>51</v>
      </c>
      <c r="G14" s="8"/>
      <c r="H14" s="8"/>
      <c r="I14" s="8">
        <v>-3</v>
      </c>
    </row>
  </sheetData>
  <pageMargins left="0.7" right="0.7" top="0.75" bottom="0.75" header="0.3" footer="0.3"/>
  <pageSetup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1</vt:lpstr>
      <vt:lpstr>Sheet 2</vt:lpstr>
      <vt:lpstr>Sheet 3</vt:lpstr>
      <vt:lpstr>Sheet 4</vt:lpstr>
      <vt:lpstr>Sheet 5</vt:lpstr>
      <vt:lpstr>Sheet 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2011-10-06T19:05:36Z</dcterms:created>
  <dcterms:modified xsi:type="dcterms:W3CDTF">2011-10-27T20:16:54Z</dcterms:modified>
</cp:coreProperties>
</file>