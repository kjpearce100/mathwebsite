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5715" windowHeight="9780" activeTab="2"/>
  </bookViews>
  <sheets>
    <sheet name="Euclidean" sheetId="3" r:id="rId1"/>
    <sheet name="Experiment" sheetId="1" r:id="rId2"/>
    <sheet name="Stat-Data" sheetId="2" r:id="rId3"/>
  </sheets>
  <calcPr calcId="125725"/>
</workbook>
</file>

<file path=xl/calcChain.xml><?xml version="1.0" encoding="utf-8"?>
<calcChain xmlns="http://schemas.openxmlformats.org/spreadsheetml/2006/main">
  <c r="U87" i="2"/>
  <c r="U72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"/>
  <c r="J3"/>
  <c r="J4"/>
  <c r="J5"/>
  <c r="J6"/>
  <c r="J7"/>
  <c r="J8"/>
  <c r="J9"/>
  <c r="J10"/>
  <c r="J11"/>
  <c r="J12"/>
  <c r="J13"/>
  <c r="J14"/>
  <c r="J15"/>
  <c r="J16"/>
  <c r="J17"/>
  <c r="J18"/>
  <c r="J19"/>
  <c r="J20"/>
  <c r="J2"/>
  <c r="U12" i="2"/>
  <c r="U27"/>
  <c r="U57"/>
  <c r="W38"/>
  <c r="W55"/>
  <c r="W40"/>
  <c r="W25"/>
  <c r="W10"/>
  <c r="I56"/>
  <c r="I41"/>
  <c r="I26"/>
  <c r="I11"/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"/>
  <c r="E3"/>
  <c r="E4"/>
  <c r="E5"/>
  <c r="E6"/>
  <c r="E7"/>
  <c r="E8"/>
  <c r="E9"/>
  <c r="E10"/>
  <c r="E11"/>
  <c r="E12"/>
  <c r="E13"/>
  <c r="E14"/>
  <c r="E15"/>
  <c r="E16"/>
  <c r="E17"/>
  <c r="E18"/>
  <c r="E19"/>
  <c r="E20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"/>
  <c r="I91" i="2"/>
  <c r="I90"/>
  <c r="I88"/>
  <c r="I89" s="1"/>
  <c r="I87"/>
  <c r="I86"/>
  <c r="I85"/>
  <c r="I84"/>
  <c r="I83"/>
  <c r="I82"/>
  <c r="U81"/>
  <c r="I81"/>
  <c r="I76"/>
  <c r="I75"/>
  <c r="I73"/>
  <c r="I74" s="1"/>
  <c r="I72"/>
  <c r="I71"/>
  <c r="I70"/>
  <c r="I69"/>
  <c r="I68"/>
  <c r="I67"/>
  <c r="U66"/>
  <c r="I66"/>
  <c r="I61"/>
  <c r="I60"/>
  <c r="I58"/>
  <c r="I59" s="1"/>
  <c r="I57"/>
  <c r="I55"/>
  <c r="I54"/>
  <c r="I53"/>
  <c r="I52"/>
  <c r="U51"/>
  <c r="I51"/>
  <c r="I46"/>
  <c r="I45"/>
  <c r="I43"/>
  <c r="I42"/>
  <c r="I40"/>
  <c r="I39"/>
  <c r="I38"/>
  <c r="I37"/>
  <c r="U36"/>
  <c r="I36"/>
  <c r="I31"/>
  <c r="I30"/>
  <c r="I28"/>
  <c r="I29" s="1"/>
  <c r="I27"/>
  <c r="I25"/>
  <c r="I24"/>
  <c r="I23"/>
  <c r="I22"/>
  <c r="U21"/>
  <c r="I21"/>
  <c r="U13"/>
  <c r="U11"/>
  <c r="U10"/>
  <c r="U9"/>
  <c r="U8"/>
  <c r="U7"/>
  <c r="U6"/>
  <c r="I16"/>
  <c r="I15"/>
  <c r="I13"/>
  <c r="I12"/>
  <c r="I10"/>
  <c r="I9"/>
  <c r="I8"/>
  <c r="I7"/>
  <c r="I6"/>
  <c r="F2" i="3"/>
  <c r="D2"/>
  <c r="C2"/>
  <c r="B2"/>
  <c r="A2"/>
  <c r="I44" i="2" l="1"/>
  <c r="U82"/>
  <c r="U67"/>
  <c r="U52"/>
  <c r="U37"/>
  <c r="U22"/>
  <c r="I14"/>
  <c r="E2" i="3"/>
  <c r="G2" s="1"/>
  <c r="U83" i="2" l="1"/>
  <c r="U68"/>
  <c r="U53"/>
  <c r="U38"/>
  <c r="U23"/>
  <c r="C3" i="3"/>
  <c r="A3"/>
  <c r="F3"/>
  <c r="D3"/>
  <c r="B3"/>
  <c r="U39" i="2" l="1"/>
  <c r="U40" s="1"/>
  <c r="U84"/>
  <c r="U69"/>
  <c r="U54"/>
  <c r="U24"/>
  <c r="U26"/>
  <c r="U25"/>
  <c r="U28" s="1"/>
  <c r="U29" s="1"/>
  <c r="U14"/>
  <c r="E3" i="3"/>
  <c r="G3" s="1"/>
  <c r="U41" i="2" l="1"/>
  <c r="U42" s="1"/>
  <c r="U85"/>
  <c r="U70"/>
  <c r="U55"/>
  <c r="U43"/>
  <c r="U44" s="1"/>
  <c r="F4" i="3"/>
  <c r="D4"/>
  <c r="B4"/>
  <c r="C4"/>
  <c r="A4"/>
  <c r="U86" i="2" l="1"/>
  <c r="U88" s="1"/>
  <c r="U89" s="1"/>
  <c r="U71"/>
  <c r="U73" s="1"/>
  <c r="U74" s="1"/>
  <c r="U56"/>
  <c r="U58" s="1"/>
  <c r="U59" s="1"/>
  <c r="E4" i="3"/>
  <c r="G4" s="1"/>
  <c r="C5" l="1"/>
  <c r="F5"/>
  <c r="B5"/>
  <c r="A5"/>
  <c r="D5"/>
  <c r="E5" l="1"/>
  <c r="G5" s="1"/>
  <c r="F6" s="1"/>
  <c r="C6" l="1"/>
  <c r="D6"/>
  <c r="A6"/>
  <c r="B6"/>
  <c r="E6"/>
  <c r="G6" s="1"/>
  <c r="C7" l="1"/>
  <c r="F7"/>
  <c r="B7"/>
  <c r="A7"/>
  <c r="D7"/>
  <c r="E7" l="1"/>
  <c r="G7" s="1"/>
  <c r="D8" l="1"/>
  <c r="C8"/>
  <c r="F8"/>
  <c r="B8"/>
  <c r="A8"/>
  <c r="E8" l="1"/>
  <c r="G8" s="1"/>
  <c r="G9" s="1"/>
  <c r="D9" l="1"/>
  <c r="E9"/>
  <c r="F9"/>
  <c r="A9"/>
  <c r="B9"/>
  <c r="C9"/>
  <c r="D10"/>
  <c r="G10"/>
  <c r="C10"/>
  <c r="F10"/>
  <c r="B10"/>
  <c r="E10"/>
  <c r="A10"/>
  <c r="E11" l="1"/>
  <c r="A11"/>
  <c r="D11"/>
  <c r="G11"/>
  <c r="C11"/>
  <c r="F11"/>
  <c r="B11"/>
  <c r="D12" l="1"/>
  <c r="G12"/>
  <c r="C12"/>
  <c r="F12"/>
  <c r="B12"/>
  <c r="E12"/>
  <c r="A12"/>
  <c r="E13" l="1"/>
  <c r="A13"/>
  <c r="D13"/>
  <c r="G13"/>
  <c r="C13"/>
  <c r="F13"/>
  <c r="B13"/>
  <c r="D14" l="1"/>
  <c r="G14"/>
  <c r="C14"/>
  <c r="F14"/>
  <c r="B14"/>
  <c r="E14"/>
  <c r="A14"/>
  <c r="E15" l="1"/>
  <c r="A15"/>
  <c r="D15"/>
  <c r="G15"/>
  <c r="C15"/>
  <c r="F15"/>
  <c r="B15"/>
  <c r="D16" l="1"/>
  <c r="G16"/>
  <c r="C16"/>
  <c r="F16"/>
  <c r="B16"/>
  <c r="E16"/>
  <c r="A16"/>
  <c r="T1" i="2" l="1"/>
  <c r="S1"/>
  <c r="R1"/>
  <c r="Q1"/>
  <c r="P1"/>
  <c r="O1"/>
  <c r="N1"/>
  <c r="M1"/>
  <c r="L1"/>
  <c r="K1"/>
  <c r="J1"/>
  <c r="I1"/>
  <c r="H1"/>
  <c r="G1"/>
  <c r="F1"/>
  <c r="E1"/>
  <c r="D1"/>
  <c r="C1"/>
  <c r="B1"/>
  <c r="A1"/>
  <c r="C3" i="1" l="1"/>
  <c r="C4"/>
  <c r="C5"/>
  <c r="C6"/>
  <c r="C7"/>
  <c r="C8"/>
  <c r="C9"/>
  <c r="C10"/>
  <c r="C11"/>
  <c r="C12"/>
  <c r="C13"/>
  <c r="C14"/>
  <c r="C15"/>
  <c r="C16"/>
  <c r="C17"/>
  <c r="C18"/>
  <c r="C19"/>
  <c r="C20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"/>
</calcChain>
</file>

<file path=xl/sharedStrings.xml><?xml version="1.0" encoding="utf-8"?>
<sst xmlns="http://schemas.openxmlformats.org/spreadsheetml/2006/main" count="80" uniqueCount="25">
  <si>
    <t>3^n</t>
  </si>
  <si>
    <t>(n+3)^3</t>
  </si>
  <si>
    <t>Mean</t>
  </si>
  <si>
    <t>Median</t>
  </si>
  <si>
    <t>Mode</t>
  </si>
  <si>
    <t>Midrange</t>
  </si>
  <si>
    <t>Standard Deviation</t>
  </si>
  <si>
    <t>Range</t>
  </si>
  <si>
    <t>Quartile 1st</t>
  </si>
  <si>
    <t>Quartile 3rd</t>
  </si>
  <si>
    <t>Inneer Quartile Range</t>
  </si>
  <si>
    <t>Minimum</t>
  </si>
  <si>
    <t>Maximum</t>
  </si>
  <si>
    <t>2^n</t>
  </si>
  <si>
    <t>Version A</t>
  </si>
  <si>
    <t>Version B</t>
  </si>
  <si>
    <t>n^n</t>
  </si>
  <si>
    <t>(n+2)!</t>
  </si>
  <si>
    <t>Version C</t>
  </si>
  <si>
    <t>4^n</t>
  </si>
  <si>
    <t>n^4</t>
  </si>
  <si>
    <t>Version D</t>
  </si>
  <si>
    <t>5^n</t>
  </si>
  <si>
    <t>(n+5)^5</t>
  </si>
  <si>
    <t>Version 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</si>
</sst>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selection activeCell="G1" sqref="G1"/>
    </sheetView>
  </sheetViews>
  <sheetFormatPr defaultRowHeight="15"/>
  <sheetData>
    <row r="1" spans="1:7" ht="15.75" thickBot="1">
      <c r="A1" s="1"/>
      <c r="B1" s="1"/>
      <c r="C1" s="1">
        <v>254</v>
      </c>
      <c r="D1" s="1"/>
      <c r="E1" s="1"/>
      <c r="F1" s="1"/>
      <c r="G1" s="1">
        <v>156</v>
      </c>
    </row>
    <row r="2" spans="1:7">
      <c r="A2" s="2">
        <f t="shared" ref="A2:A6" si="0">IF(G1&gt;0,C1,"")</f>
        <v>254</v>
      </c>
      <c r="B2" s="3" t="str">
        <f t="shared" ref="B2:B6" si="1">IF(G1&gt;0,"=","")</f>
        <v>=</v>
      </c>
      <c r="C2" s="2">
        <f t="shared" ref="C2:C6" si="2">IF(G1&gt;0,G1,"")</f>
        <v>156</v>
      </c>
      <c r="D2" s="3" t="str">
        <f t="shared" ref="D2:D6" si="3">IF(G1&gt;0,"*","")</f>
        <v>*</v>
      </c>
      <c r="E2" s="2">
        <f t="shared" ref="E2:E6" si="4">IF(G1&gt;0,ROUNDDOWN(A2/C2,0),"")</f>
        <v>1</v>
      </c>
      <c r="F2" s="3" t="str">
        <f t="shared" ref="F2:F6" si="5">IF(G1&gt;0,"+","")</f>
        <v>+</v>
      </c>
      <c r="G2" s="2">
        <f t="shared" ref="G2:G6" si="6">IF(G1&gt;0,A2-C2*E2,0)</f>
        <v>98</v>
      </c>
    </row>
    <row r="3" spans="1:7">
      <c r="A3" s="2">
        <f t="shared" si="0"/>
        <v>156</v>
      </c>
      <c r="B3" s="3" t="str">
        <f t="shared" si="1"/>
        <v>=</v>
      </c>
      <c r="C3" s="2">
        <f t="shared" si="2"/>
        <v>98</v>
      </c>
      <c r="D3" s="3" t="str">
        <f t="shared" si="3"/>
        <v>*</v>
      </c>
      <c r="E3" s="2">
        <f t="shared" si="4"/>
        <v>1</v>
      </c>
      <c r="F3" s="3" t="str">
        <f t="shared" si="5"/>
        <v>+</v>
      </c>
      <c r="G3" s="2">
        <f t="shared" si="6"/>
        <v>58</v>
      </c>
    </row>
    <row r="4" spans="1:7">
      <c r="A4" s="2">
        <f t="shared" si="0"/>
        <v>98</v>
      </c>
      <c r="B4" s="3" t="str">
        <f t="shared" si="1"/>
        <v>=</v>
      </c>
      <c r="C4" s="2">
        <f t="shared" si="2"/>
        <v>58</v>
      </c>
      <c r="D4" s="3" t="str">
        <f t="shared" si="3"/>
        <v>*</v>
      </c>
      <c r="E4" s="2">
        <f t="shared" si="4"/>
        <v>1</v>
      </c>
      <c r="F4" s="3" t="str">
        <f t="shared" si="5"/>
        <v>+</v>
      </c>
      <c r="G4" s="2">
        <f t="shared" si="6"/>
        <v>40</v>
      </c>
    </row>
    <row r="5" spans="1:7">
      <c r="A5" s="2">
        <f t="shared" si="0"/>
        <v>58</v>
      </c>
      <c r="B5" s="3" t="str">
        <f t="shared" si="1"/>
        <v>=</v>
      </c>
      <c r="C5" s="2">
        <f t="shared" si="2"/>
        <v>40</v>
      </c>
      <c r="D5" s="3" t="str">
        <f t="shared" si="3"/>
        <v>*</v>
      </c>
      <c r="E5" s="2">
        <f t="shared" si="4"/>
        <v>1</v>
      </c>
      <c r="F5" s="3" t="str">
        <f t="shared" si="5"/>
        <v>+</v>
      </c>
      <c r="G5" s="2">
        <f t="shared" si="6"/>
        <v>18</v>
      </c>
    </row>
    <row r="6" spans="1:7">
      <c r="A6" s="2">
        <f t="shared" si="0"/>
        <v>40</v>
      </c>
      <c r="B6" s="3" t="str">
        <f t="shared" si="1"/>
        <v>=</v>
      </c>
      <c r="C6" s="2">
        <f t="shared" si="2"/>
        <v>18</v>
      </c>
      <c r="D6" s="3" t="str">
        <f t="shared" si="3"/>
        <v>*</v>
      </c>
      <c r="E6" s="2">
        <f t="shared" si="4"/>
        <v>2</v>
      </c>
      <c r="F6" s="3" t="str">
        <f t="shared" si="5"/>
        <v>+</v>
      </c>
      <c r="G6" s="2">
        <f t="shared" si="6"/>
        <v>4</v>
      </c>
    </row>
    <row r="7" spans="1:7">
      <c r="A7" s="2">
        <f>IF(G6&gt;0,C6,"")</f>
        <v>18</v>
      </c>
      <c r="B7" s="3" t="str">
        <f>IF(G6&gt;0,"=","")</f>
        <v>=</v>
      </c>
      <c r="C7" s="2">
        <f>IF(G6&gt;0,G6,"")</f>
        <v>4</v>
      </c>
      <c r="D7" s="3" t="str">
        <f>IF(G6&gt;0,"*","")</f>
        <v>*</v>
      </c>
      <c r="E7" s="2">
        <f>IF(G6&gt;0,ROUNDDOWN(A7/C7,0),"")</f>
        <v>4</v>
      </c>
      <c r="F7" s="3" t="str">
        <f>IF(G6&gt;0,"+","")</f>
        <v>+</v>
      </c>
      <c r="G7" s="2">
        <f>IF(G6&gt;0,A7-C7*E7,0)</f>
        <v>2</v>
      </c>
    </row>
    <row r="8" spans="1:7">
      <c r="A8" s="2">
        <f t="shared" ref="A8:A16" si="7">IF(G7&gt;0,C7,"")</f>
        <v>4</v>
      </c>
      <c r="B8" s="3" t="str">
        <f t="shared" ref="B8:B16" si="8">IF(G7&gt;0,"=","")</f>
        <v>=</v>
      </c>
      <c r="C8" s="2">
        <f t="shared" ref="C8:C16" si="9">IF(G7&gt;0,G7,"")</f>
        <v>2</v>
      </c>
      <c r="D8" s="3" t="str">
        <f t="shared" ref="D8:D16" si="10">IF(G7&gt;0,"*","")</f>
        <v>*</v>
      </c>
      <c r="E8" s="2">
        <f t="shared" ref="E8:E16" si="11">IF(G7&gt;0,ROUNDDOWN(A8/C8,0),"")</f>
        <v>2</v>
      </c>
      <c r="F8" s="3" t="str">
        <f t="shared" ref="F8:F16" si="12">IF(G7&gt;0,"+","")</f>
        <v>+</v>
      </c>
      <c r="G8" s="2">
        <f t="shared" ref="G8:G16" si="13">IF(G7&gt;0,A8-C8*E8,0)</f>
        <v>0</v>
      </c>
    </row>
    <row r="9" spans="1:7">
      <c r="A9" s="2" t="str">
        <f t="shared" si="7"/>
        <v/>
      </c>
      <c r="B9" s="3" t="str">
        <f t="shared" si="8"/>
        <v/>
      </c>
      <c r="C9" s="2" t="str">
        <f t="shared" si="9"/>
        <v/>
      </c>
      <c r="D9" s="3" t="str">
        <f t="shared" si="10"/>
        <v/>
      </c>
      <c r="E9" s="2" t="str">
        <f t="shared" si="11"/>
        <v/>
      </c>
      <c r="F9" s="3" t="str">
        <f t="shared" si="12"/>
        <v/>
      </c>
      <c r="G9" s="2">
        <f t="shared" si="13"/>
        <v>0</v>
      </c>
    </row>
    <row r="10" spans="1:7">
      <c r="A10" s="2" t="str">
        <f t="shared" si="7"/>
        <v/>
      </c>
      <c r="B10" s="3" t="str">
        <f t="shared" si="8"/>
        <v/>
      </c>
      <c r="C10" s="2" t="str">
        <f t="shared" si="9"/>
        <v/>
      </c>
      <c r="D10" s="3" t="str">
        <f t="shared" si="10"/>
        <v/>
      </c>
      <c r="E10" s="2" t="str">
        <f t="shared" si="11"/>
        <v/>
      </c>
      <c r="F10" s="3" t="str">
        <f t="shared" si="12"/>
        <v/>
      </c>
      <c r="G10" s="2">
        <f t="shared" si="13"/>
        <v>0</v>
      </c>
    </row>
    <row r="11" spans="1:7">
      <c r="A11" s="2" t="str">
        <f t="shared" si="7"/>
        <v/>
      </c>
      <c r="B11" s="3" t="str">
        <f t="shared" si="8"/>
        <v/>
      </c>
      <c r="C11" s="2" t="str">
        <f t="shared" si="9"/>
        <v/>
      </c>
      <c r="D11" s="3" t="str">
        <f t="shared" si="10"/>
        <v/>
      </c>
      <c r="E11" s="2" t="str">
        <f t="shared" si="11"/>
        <v/>
      </c>
      <c r="F11" s="3" t="str">
        <f t="shared" si="12"/>
        <v/>
      </c>
      <c r="G11" s="2">
        <f t="shared" si="13"/>
        <v>0</v>
      </c>
    </row>
    <row r="12" spans="1:7">
      <c r="A12" s="2" t="str">
        <f t="shared" si="7"/>
        <v/>
      </c>
      <c r="B12" s="3" t="str">
        <f t="shared" si="8"/>
        <v/>
      </c>
      <c r="C12" s="2" t="str">
        <f t="shared" si="9"/>
        <v/>
      </c>
      <c r="D12" s="3" t="str">
        <f t="shared" si="10"/>
        <v/>
      </c>
      <c r="E12" s="2" t="str">
        <f t="shared" si="11"/>
        <v/>
      </c>
      <c r="F12" s="3" t="str">
        <f t="shared" si="12"/>
        <v/>
      </c>
      <c r="G12" s="2">
        <f t="shared" si="13"/>
        <v>0</v>
      </c>
    </row>
    <row r="13" spans="1:7">
      <c r="A13" s="2" t="str">
        <f t="shared" si="7"/>
        <v/>
      </c>
      <c r="B13" s="3" t="str">
        <f t="shared" si="8"/>
        <v/>
      </c>
      <c r="C13" s="2" t="str">
        <f t="shared" si="9"/>
        <v/>
      </c>
      <c r="D13" s="3" t="str">
        <f t="shared" si="10"/>
        <v/>
      </c>
      <c r="E13" s="2" t="str">
        <f t="shared" si="11"/>
        <v/>
      </c>
      <c r="F13" s="3" t="str">
        <f t="shared" si="12"/>
        <v/>
      </c>
      <c r="G13" s="2">
        <f t="shared" si="13"/>
        <v>0</v>
      </c>
    </row>
    <row r="14" spans="1:7">
      <c r="A14" s="2" t="str">
        <f t="shared" si="7"/>
        <v/>
      </c>
      <c r="B14" s="3" t="str">
        <f t="shared" si="8"/>
        <v/>
      </c>
      <c r="C14" s="2" t="str">
        <f t="shared" si="9"/>
        <v/>
      </c>
      <c r="D14" s="3" t="str">
        <f t="shared" si="10"/>
        <v/>
      </c>
      <c r="E14" s="2" t="str">
        <f t="shared" si="11"/>
        <v/>
      </c>
      <c r="F14" s="3" t="str">
        <f t="shared" si="12"/>
        <v/>
      </c>
      <c r="G14" s="2">
        <f t="shared" si="13"/>
        <v>0</v>
      </c>
    </row>
    <row r="15" spans="1:7">
      <c r="A15" s="2" t="str">
        <f t="shared" si="7"/>
        <v/>
      </c>
      <c r="B15" s="3" t="str">
        <f t="shared" si="8"/>
        <v/>
      </c>
      <c r="C15" s="2" t="str">
        <f t="shared" si="9"/>
        <v/>
      </c>
      <c r="D15" s="3" t="str">
        <f t="shared" si="10"/>
        <v/>
      </c>
      <c r="E15" s="2" t="str">
        <f t="shared" si="11"/>
        <v/>
      </c>
      <c r="F15" s="3" t="str">
        <f t="shared" si="12"/>
        <v/>
      </c>
      <c r="G15" s="2">
        <f t="shared" si="13"/>
        <v>0</v>
      </c>
    </row>
    <row r="16" spans="1:7">
      <c r="A16" s="2" t="str">
        <f t="shared" si="7"/>
        <v/>
      </c>
      <c r="B16" s="3" t="str">
        <f t="shared" si="8"/>
        <v/>
      </c>
      <c r="C16" s="2" t="str">
        <f t="shared" si="9"/>
        <v/>
      </c>
      <c r="D16" s="3" t="str">
        <f t="shared" si="10"/>
        <v/>
      </c>
      <c r="E16" s="2" t="str">
        <f t="shared" si="11"/>
        <v/>
      </c>
      <c r="F16" s="3" t="str">
        <f t="shared" si="12"/>
        <v/>
      </c>
      <c r="G16" s="2">
        <f t="shared" si="1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I2" sqref="I2:I20"/>
    </sheetView>
  </sheetViews>
  <sheetFormatPr defaultRowHeight="15"/>
  <cols>
    <col min="1" max="1" width="7" customWidth="1"/>
    <col min="2" max="2" width="14.7109375" customWidth="1"/>
    <col min="3" max="3" width="9.140625" customWidth="1"/>
    <col min="4" max="4" width="14.7109375" customWidth="1"/>
    <col min="5" max="6" width="17.28515625" customWidth="1"/>
    <col min="7" max="7" width="14.7109375" customWidth="1"/>
    <col min="8" max="8" width="11" customWidth="1"/>
  </cols>
  <sheetData>
    <row r="1" spans="1:10">
      <c r="B1" t="s">
        <v>0</v>
      </c>
      <c r="C1" t="s">
        <v>1</v>
      </c>
      <c r="D1" t="s">
        <v>13</v>
      </c>
      <c r="E1" t="s">
        <v>17</v>
      </c>
      <c r="F1" t="s">
        <v>16</v>
      </c>
      <c r="G1" t="s">
        <v>19</v>
      </c>
      <c r="H1" t="s">
        <v>20</v>
      </c>
      <c r="I1" t="s">
        <v>23</v>
      </c>
      <c r="J1" t="s">
        <v>22</v>
      </c>
    </row>
    <row r="2" spans="1:10">
      <c r="A2">
        <v>1</v>
      </c>
      <c r="B2">
        <f>3^A2</f>
        <v>3</v>
      </c>
      <c r="C2">
        <f>(A2+3)^3</f>
        <v>64</v>
      </c>
      <c r="D2">
        <f>2^A2</f>
        <v>2</v>
      </c>
      <c r="E2">
        <f>FACT(A2+2)</f>
        <v>6</v>
      </c>
      <c r="F2">
        <f>A2^A2</f>
        <v>1</v>
      </c>
      <c r="G2">
        <f>4^A2</f>
        <v>4</v>
      </c>
      <c r="H2">
        <f>A2^4</f>
        <v>1</v>
      </c>
      <c r="I2">
        <f>(A2+5)^5</f>
        <v>7776</v>
      </c>
      <c r="J2">
        <f>5^A2</f>
        <v>5</v>
      </c>
    </row>
    <row r="3" spans="1:10">
      <c r="A3">
        <v>2</v>
      </c>
      <c r="B3">
        <f t="shared" ref="B3:B20" si="0">3^A3</f>
        <v>9</v>
      </c>
      <c r="C3">
        <f t="shared" ref="C3:C20" si="1">(A3+3)^3</f>
        <v>125</v>
      </c>
      <c r="D3">
        <f t="shared" ref="D3:D20" si="2">2^A3</f>
        <v>4</v>
      </c>
      <c r="E3">
        <f t="shared" ref="E3:E20" si="3">FACT(A3+2)</f>
        <v>24</v>
      </c>
      <c r="F3">
        <f t="shared" ref="F3:F20" si="4">A3^A3</f>
        <v>4</v>
      </c>
      <c r="G3">
        <f t="shared" ref="G3:G20" si="5">4^A3</f>
        <v>16</v>
      </c>
      <c r="H3">
        <f t="shared" ref="H3:H20" si="6">A3^4</f>
        <v>16</v>
      </c>
      <c r="I3">
        <f t="shared" ref="I3:I20" si="7">(A3+5)^5</f>
        <v>16807</v>
      </c>
      <c r="J3">
        <f t="shared" ref="J3:J20" si="8">5^A3</f>
        <v>25</v>
      </c>
    </row>
    <row r="4" spans="1:10">
      <c r="A4">
        <v>3</v>
      </c>
      <c r="B4">
        <f t="shared" si="0"/>
        <v>27</v>
      </c>
      <c r="C4">
        <f t="shared" si="1"/>
        <v>216</v>
      </c>
      <c r="D4">
        <f t="shared" si="2"/>
        <v>8</v>
      </c>
      <c r="E4">
        <f t="shared" si="3"/>
        <v>120</v>
      </c>
      <c r="F4">
        <f t="shared" si="4"/>
        <v>27</v>
      </c>
      <c r="G4">
        <f t="shared" si="5"/>
        <v>64</v>
      </c>
      <c r="H4">
        <f t="shared" si="6"/>
        <v>81</v>
      </c>
      <c r="I4">
        <f t="shared" si="7"/>
        <v>32768</v>
      </c>
      <c r="J4">
        <f t="shared" si="8"/>
        <v>125</v>
      </c>
    </row>
    <row r="5" spans="1:10">
      <c r="A5">
        <v>4</v>
      </c>
      <c r="B5">
        <f t="shared" si="0"/>
        <v>81</v>
      </c>
      <c r="C5">
        <f t="shared" si="1"/>
        <v>343</v>
      </c>
      <c r="D5">
        <f t="shared" si="2"/>
        <v>16</v>
      </c>
      <c r="E5">
        <f t="shared" si="3"/>
        <v>720</v>
      </c>
      <c r="F5">
        <f t="shared" si="4"/>
        <v>256</v>
      </c>
      <c r="G5">
        <f t="shared" si="5"/>
        <v>256</v>
      </c>
      <c r="H5">
        <f t="shared" si="6"/>
        <v>256</v>
      </c>
      <c r="I5">
        <f t="shared" si="7"/>
        <v>59049</v>
      </c>
      <c r="J5">
        <f t="shared" si="8"/>
        <v>625</v>
      </c>
    </row>
    <row r="6" spans="1:10">
      <c r="A6">
        <v>5</v>
      </c>
      <c r="B6">
        <f t="shared" si="0"/>
        <v>243</v>
      </c>
      <c r="C6">
        <f t="shared" si="1"/>
        <v>512</v>
      </c>
      <c r="D6">
        <f t="shared" si="2"/>
        <v>32</v>
      </c>
      <c r="E6">
        <f t="shared" si="3"/>
        <v>5040</v>
      </c>
      <c r="F6">
        <f t="shared" si="4"/>
        <v>3125</v>
      </c>
      <c r="G6">
        <f t="shared" si="5"/>
        <v>1024</v>
      </c>
      <c r="H6">
        <f t="shared" si="6"/>
        <v>625</v>
      </c>
      <c r="I6">
        <f t="shared" si="7"/>
        <v>100000</v>
      </c>
      <c r="J6">
        <f t="shared" si="8"/>
        <v>3125</v>
      </c>
    </row>
    <row r="7" spans="1:10">
      <c r="A7">
        <v>6</v>
      </c>
      <c r="B7">
        <f t="shared" si="0"/>
        <v>729</v>
      </c>
      <c r="C7">
        <f t="shared" si="1"/>
        <v>729</v>
      </c>
      <c r="D7">
        <f t="shared" si="2"/>
        <v>64</v>
      </c>
      <c r="E7">
        <f t="shared" si="3"/>
        <v>40320</v>
      </c>
      <c r="F7">
        <f t="shared" si="4"/>
        <v>46656</v>
      </c>
      <c r="G7">
        <f t="shared" si="5"/>
        <v>4096</v>
      </c>
      <c r="H7">
        <f t="shared" si="6"/>
        <v>1296</v>
      </c>
      <c r="I7">
        <f t="shared" si="7"/>
        <v>161051</v>
      </c>
      <c r="J7">
        <f t="shared" si="8"/>
        <v>15625</v>
      </c>
    </row>
    <row r="8" spans="1:10">
      <c r="A8">
        <v>7</v>
      </c>
      <c r="B8">
        <f t="shared" si="0"/>
        <v>2187</v>
      </c>
      <c r="C8">
        <f t="shared" si="1"/>
        <v>1000</v>
      </c>
      <c r="D8">
        <f t="shared" si="2"/>
        <v>128</v>
      </c>
      <c r="E8">
        <f t="shared" si="3"/>
        <v>362880</v>
      </c>
      <c r="F8">
        <f t="shared" si="4"/>
        <v>823543</v>
      </c>
      <c r="G8">
        <f t="shared" si="5"/>
        <v>16384</v>
      </c>
      <c r="H8">
        <f t="shared" si="6"/>
        <v>2401</v>
      </c>
      <c r="I8">
        <f t="shared" si="7"/>
        <v>248832</v>
      </c>
      <c r="J8">
        <f t="shared" si="8"/>
        <v>78125</v>
      </c>
    </row>
    <row r="9" spans="1:10">
      <c r="A9">
        <v>8</v>
      </c>
      <c r="B9">
        <f t="shared" si="0"/>
        <v>6561</v>
      </c>
      <c r="C9">
        <f t="shared" si="1"/>
        <v>1331</v>
      </c>
      <c r="D9">
        <f t="shared" si="2"/>
        <v>256</v>
      </c>
      <c r="E9">
        <f t="shared" si="3"/>
        <v>3628800</v>
      </c>
      <c r="F9">
        <f t="shared" si="4"/>
        <v>16777216</v>
      </c>
      <c r="G9">
        <f t="shared" si="5"/>
        <v>65536</v>
      </c>
      <c r="H9">
        <f t="shared" si="6"/>
        <v>4096</v>
      </c>
      <c r="I9">
        <f t="shared" si="7"/>
        <v>371293</v>
      </c>
      <c r="J9">
        <f t="shared" si="8"/>
        <v>390625</v>
      </c>
    </row>
    <row r="10" spans="1:10">
      <c r="A10">
        <v>9</v>
      </c>
      <c r="B10">
        <f t="shared" si="0"/>
        <v>19683</v>
      </c>
      <c r="C10">
        <f t="shared" si="1"/>
        <v>1728</v>
      </c>
      <c r="D10">
        <f t="shared" si="2"/>
        <v>512</v>
      </c>
      <c r="E10">
        <f t="shared" si="3"/>
        <v>39916800</v>
      </c>
      <c r="F10">
        <f t="shared" si="4"/>
        <v>387420489</v>
      </c>
      <c r="G10">
        <f t="shared" si="5"/>
        <v>262144</v>
      </c>
      <c r="H10">
        <f t="shared" si="6"/>
        <v>6561</v>
      </c>
      <c r="I10">
        <f t="shared" si="7"/>
        <v>537824</v>
      </c>
      <c r="J10">
        <f t="shared" si="8"/>
        <v>1953125</v>
      </c>
    </row>
    <row r="11" spans="1:10">
      <c r="A11">
        <v>10</v>
      </c>
      <c r="B11">
        <f t="shared" si="0"/>
        <v>59049</v>
      </c>
      <c r="C11">
        <f t="shared" si="1"/>
        <v>2197</v>
      </c>
      <c r="D11">
        <f t="shared" si="2"/>
        <v>1024</v>
      </c>
      <c r="E11">
        <f t="shared" si="3"/>
        <v>479001600</v>
      </c>
      <c r="F11">
        <f t="shared" si="4"/>
        <v>10000000000</v>
      </c>
      <c r="G11">
        <f t="shared" si="5"/>
        <v>1048576</v>
      </c>
      <c r="H11">
        <f t="shared" si="6"/>
        <v>10000</v>
      </c>
      <c r="I11">
        <f t="shared" si="7"/>
        <v>759375</v>
      </c>
      <c r="J11">
        <f t="shared" si="8"/>
        <v>9765625</v>
      </c>
    </row>
    <row r="12" spans="1:10">
      <c r="A12">
        <v>11</v>
      </c>
      <c r="B12">
        <f t="shared" si="0"/>
        <v>177147</v>
      </c>
      <c r="C12">
        <f t="shared" si="1"/>
        <v>2744</v>
      </c>
      <c r="D12">
        <f t="shared" si="2"/>
        <v>2048</v>
      </c>
      <c r="E12">
        <f t="shared" si="3"/>
        <v>6227020800</v>
      </c>
      <c r="F12">
        <f t="shared" si="4"/>
        <v>285311670611</v>
      </c>
      <c r="G12">
        <f t="shared" si="5"/>
        <v>4194304</v>
      </c>
      <c r="H12">
        <f t="shared" si="6"/>
        <v>14641</v>
      </c>
      <c r="I12">
        <f t="shared" si="7"/>
        <v>1048576</v>
      </c>
      <c r="J12">
        <f t="shared" si="8"/>
        <v>48828125</v>
      </c>
    </row>
    <row r="13" spans="1:10">
      <c r="A13">
        <v>12</v>
      </c>
      <c r="B13">
        <f t="shared" si="0"/>
        <v>531441</v>
      </c>
      <c r="C13">
        <f t="shared" si="1"/>
        <v>3375</v>
      </c>
      <c r="D13">
        <f t="shared" si="2"/>
        <v>4096</v>
      </c>
      <c r="E13">
        <f t="shared" si="3"/>
        <v>87178291200</v>
      </c>
      <c r="F13">
        <f t="shared" si="4"/>
        <v>8916100448256</v>
      </c>
      <c r="G13">
        <f t="shared" si="5"/>
        <v>16777216</v>
      </c>
      <c r="H13">
        <f t="shared" si="6"/>
        <v>20736</v>
      </c>
      <c r="I13">
        <f t="shared" si="7"/>
        <v>1419857</v>
      </c>
      <c r="J13">
        <f t="shared" si="8"/>
        <v>244140625</v>
      </c>
    </row>
    <row r="14" spans="1:10">
      <c r="A14">
        <v>13</v>
      </c>
      <c r="B14">
        <f t="shared" si="0"/>
        <v>1594323</v>
      </c>
      <c r="C14">
        <f t="shared" si="1"/>
        <v>4096</v>
      </c>
      <c r="D14">
        <f t="shared" si="2"/>
        <v>8192</v>
      </c>
      <c r="E14">
        <f t="shared" si="3"/>
        <v>1307674368000</v>
      </c>
      <c r="F14">
        <f t="shared" si="4"/>
        <v>302875106592253</v>
      </c>
      <c r="G14">
        <f t="shared" si="5"/>
        <v>67108864</v>
      </c>
      <c r="H14">
        <f t="shared" si="6"/>
        <v>28561</v>
      </c>
      <c r="I14">
        <f t="shared" si="7"/>
        <v>1889568</v>
      </c>
      <c r="J14">
        <f t="shared" si="8"/>
        <v>1220703125</v>
      </c>
    </row>
    <row r="15" spans="1:10">
      <c r="A15">
        <v>14</v>
      </c>
      <c r="B15">
        <f t="shared" si="0"/>
        <v>4782969</v>
      </c>
      <c r="C15">
        <f t="shared" si="1"/>
        <v>4913</v>
      </c>
      <c r="D15">
        <f t="shared" si="2"/>
        <v>16384</v>
      </c>
      <c r="E15">
        <f t="shared" si="3"/>
        <v>20922789888000</v>
      </c>
      <c r="F15">
        <f t="shared" si="4"/>
        <v>1.1112006825558016E+16</v>
      </c>
      <c r="G15">
        <f t="shared" si="5"/>
        <v>268435456</v>
      </c>
      <c r="H15">
        <f t="shared" si="6"/>
        <v>38416</v>
      </c>
      <c r="I15">
        <f t="shared" si="7"/>
        <v>2476099</v>
      </c>
      <c r="J15">
        <f t="shared" si="8"/>
        <v>6103515625</v>
      </c>
    </row>
    <row r="16" spans="1:10">
      <c r="A16">
        <v>15</v>
      </c>
      <c r="B16">
        <f t="shared" si="0"/>
        <v>14348907</v>
      </c>
      <c r="C16">
        <f t="shared" si="1"/>
        <v>5832</v>
      </c>
      <c r="D16">
        <f t="shared" si="2"/>
        <v>32768</v>
      </c>
      <c r="E16">
        <f t="shared" si="3"/>
        <v>355687428096000</v>
      </c>
      <c r="F16">
        <f t="shared" si="4"/>
        <v>4.3789389038085939E+17</v>
      </c>
      <c r="G16">
        <f t="shared" si="5"/>
        <v>1073741824</v>
      </c>
      <c r="H16">
        <f t="shared" si="6"/>
        <v>50625</v>
      </c>
      <c r="I16">
        <f t="shared" si="7"/>
        <v>3200000</v>
      </c>
      <c r="J16">
        <f t="shared" si="8"/>
        <v>30517578125</v>
      </c>
    </row>
    <row r="17" spans="1:10">
      <c r="A17">
        <v>16</v>
      </c>
      <c r="B17">
        <f t="shared" si="0"/>
        <v>43046721</v>
      </c>
      <c r="C17">
        <f t="shared" si="1"/>
        <v>6859</v>
      </c>
      <c r="D17">
        <f t="shared" si="2"/>
        <v>65536</v>
      </c>
      <c r="E17">
        <f t="shared" si="3"/>
        <v>6402373705728000</v>
      </c>
      <c r="F17">
        <f t="shared" si="4"/>
        <v>1.8446744073709552E+19</v>
      </c>
      <c r="G17">
        <f t="shared" si="5"/>
        <v>4294967296</v>
      </c>
      <c r="H17">
        <f t="shared" si="6"/>
        <v>65536</v>
      </c>
      <c r="I17">
        <f t="shared" si="7"/>
        <v>4084101</v>
      </c>
      <c r="J17">
        <f t="shared" si="8"/>
        <v>152587890625</v>
      </c>
    </row>
    <row r="18" spans="1:10">
      <c r="A18">
        <v>17</v>
      </c>
      <c r="B18">
        <f t="shared" si="0"/>
        <v>129140163</v>
      </c>
      <c r="C18">
        <f t="shared" si="1"/>
        <v>8000</v>
      </c>
      <c r="D18">
        <f t="shared" si="2"/>
        <v>131072</v>
      </c>
      <c r="E18">
        <f t="shared" si="3"/>
        <v>1.21645100408832E+17</v>
      </c>
      <c r="F18">
        <f t="shared" si="4"/>
        <v>8.2724026188633683E+20</v>
      </c>
      <c r="G18">
        <f t="shared" si="5"/>
        <v>17179869184</v>
      </c>
      <c r="H18">
        <f t="shared" si="6"/>
        <v>83521</v>
      </c>
      <c r="I18">
        <f t="shared" si="7"/>
        <v>5153632</v>
      </c>
      <c r="J18">
        <f t="shared" si="8"/>
        <v>762939453125</v>
      </c>
    </row>
    <row r="19" spans="1:10">
      <c r="A19">
        <v>18</v>
      </c>
      <c r="B19">
        <f t="shared" si="0"/>
        <v>387420489</v>
      </c>
      <c r="C19">
        <f t="shared" si="1"/>
        <v>9261</v>
      </c>
      <c r="D19">
        <f t="shared" si="2"/>
        <v>262144</v>
      </c>
      <c r="E19">
        <f t="shared" si="3"/>
        <v>2.43290200817664E+18</v>
      </c>
      <c r="F19">
        <f t="shared" si="4"/>
        <v>3.9346408075296542E+22</v>
      </c>
      <c r="G19">
        <f t="shared" si="5"/>
        <v>68719476736</v>
      </c>
      <c r="H19">
        <f t="shared" si="6"/>
        <v>104976</v>
      </c>
      <c r="I19">
        <f t="shared" si="7"/>
        <v>6436343</v>
      </c>
      <c r="J19">
        <f t="shared" si="8"/>
        <v>3814697265625</v>
      </c>
    </row>
    <row r="20" spans="1:10">
      <c r="A20">
        <v>19</v>
      </c>
      <c r="B20">
        <f t="shared" si="0"/>
        <v>1162261467</v>
      </c>
      <c r="C20">
        <f t="shared" si="1"/>
        <v>10648</v>
      </c>
      <c r="D20">
        <f t="shared" si="2"/>
        <v>524288</v>
      </c>
      <c r="E20">
        <f t="shared" si="3"/>
        <v>5.109094217170944E+19</v>
      </c>
      <c r="F20">
        <f t="shared" si="4"/>
        <v>1.9784196556603136E+24</v>
      </c>
      <c r="G20">
        <f t="shared" si="5"/>
        <v>274877906944</v>
      </c>
      <c r="H20">
        <f t="shared" si="6"/>
        <v>130321</v>
      </c>
      <c r="I20">
        <f t="shared" si="7"/>
        <v>7962624</v>
      </c>
      <c r="J20">
        <f t="shared" si="8"/>
        <v>19073486328125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91"/>
  <sheetViews>
    <sheetView tabSelected="1" topLeftCell="A36" workbookViewId="0">
      <selection activeCell="V70" sqref="V70"/>
    </sheetView>
  </sheetViews>
  <sheetFormatPr defaultRowHeight="15"/>
  <cols>
    <col min="1" max="6" width="3" bestFit="1" customWidth="1"/>
    <col min="7" max="7" width="2.85546875" customWidth="1"/>
    <col min="8" max="8" width="3" bestFit="1" customWidth="1"/>
    <col min="9" max="9" width="9.140625" customWidth="1"/>
    <col min="10" max="19" width="3" bestFit="1" customWidth="1"/>
    <col min="20" max="20" width="3.85546875" customWidth="1"/>
  </cols>
  <sheetData>
    <row r="1" spans="1:23">
      <c r="A1">
        <f t="shared" ref="A1:T1" ca="1" si="0">INT(80*RAND())+20</f>
        <v>42</v>
      </c>
      <c r="B1">
        <f t="shared" ca="1" si="0"/>
        <v>64</v>
      </c>
      <c r="C1">
        <f t="shared" ca="1" si="0"/>
        <v>93</v>
      </c>
      <c r="D1">
        <f t="shared" ca="1" si="0"/>
        <v>89</v>
      </c>
      <c r="E1">
        <f t="shared" ca="1" si="0"/>
        <v>26</v>
      </c>
      <c r="F1">
        <f t="shared" ca="1" si="0"/>
        <v>22</v>
      </c>
      <c r="G1">
        <f t="shared" ca="1" si="0"/>
        <v>83</v>
      </c>
      <c r="H1">
        <f t="shared" ca="1" si="0"/>
        <v>67</v>
      </c>
      <c r="I1">
        <f t="shared" ca="1" si="0"/>
        <v>81</v>
      </c>
      <c r="J1">
        <f t="shared" ca="1" si="0"/>
        <v>65</v>
      </c>
      <c r="K1">
        <f t="shared" ca="1" si="0"/>
        <v>57</v>
      </c>
      <c r="L1">
        <f t="shared" ca="1" si="0"/>
        <v>43</v>
      </c>
      <c r="M1">
        <f t="shared" ca="1" si="0"/>
        <v>96</v>
      </c>
      <c r="N1">
        <f t="shared" ca="1" si="0"/>
        <v>79</v>
      </c>
      <c r="O1">
        <f t="shared" ca="1" si="0"/>
        <v>95</v>
      </c>
      <c r="P1">
        <f t="shared" ca="1" si="0"/>
        <v>46</v>
      </c>
      <c r="Q1">
        <f t="shared" ca="1" si="0"/>
        <v>64</v>
      </c>
      <c r="R1">
        <f t="shared" ca="1" si="0"/>
        <v>60</v>
      </c>
      <c r="S1">
        <f t="shared" ca="1" si="0"/>
        <v>87</v>
      </c>
      <c r="T1">
        <f t="shared" ca="1" si="0"/>
        <v>73</v>
      </c>
    </row>
    <row r="3" spans="1:23">
      <c r="A3" t="s">
        <v>14</v>
      </c>
    </row>
    <row r="4" spans="1:23">
      <c r="A4">
        <v>42</v>
      </c>
      <c r="B4">
        <v>36</v>
      </c>
      <c r="C4">
        <v>54</v>
      </c>
      <c r="D4">
        <v>79</v>
      </c>
      <c r="E4">
        <v>36</v>
      </c>
      <c r="F4">
        <v>87</v>
      </c>
      <c r="G4">
        <v>87</v>
      </c>
      <c r="H4">
        <v>87</v>
      </c>
      <c r="I4">
        <v>36</v>
      </c>
      <c r="J4">
        <v>98</v>
      </c>
      <c r="K4">
        <v>64</v>
      </c>
      <c r="L4">
        <v>85</v>
      </c>
      <c r="M4">
        <v>34</v>
      </c>
      <c r="N4">
        <v>36</v>
      </c>
      <c r="O4">
        <v>91</v>
      </c>
      <c r="P4">
        <v>56</v>
      </c>
      <c r="Q4">
        <v>26</v>
      </c>
    </row>
    <row r="5" spans="1:23">
      <c r="A5">
        <v>26</v>
      </c>
      <c r="B5">
        <v>34</v>
      </c>
      <c r="C5">
        <v>36</v>
      </c>
      <c r="D5">
        <v>36</v>
      </c>
      <c r="E5">
        <v>36</v>
      </c>
      <c r="F5">
        <v>36</v>
      </c>
      <c r="G5">
        <v>42</v>
      </c>
      <c r="H5">
        <v>54</v>
      </c>
      <c r="I5">
        <v>56</v>
      </c>
      <c r="J5">
        <v>64</v>
      </c>
      <c r="K5">
        <v>79</v>
      </c>
      <c r="L5">
        <v>85</v>
      </c>
      <c r="M5">
        <v>87</v>
      </c>
      <c r="N5">
        <v>87</v>
      </c>
      <c r="O5">
        <v>87</v>
      </c>
      <c r="P5">
        <v>91</v>
      </c>
      <c r="Q5">
        <v>98</v>
      </c>
    </row>
    <row r="6" spans="1:23">
      <c r="A6" t="s">
        <v>2</v>
      </c>
      <c r="I6">
        <f>AVERAGE(A4:Q4)</f>
        <v>60.823529411764703</v>
      </c>
      <c r="T6">
        <v>20</v>
      </c>
      <c r="U6">
        <f>COUNTIF(A4:Q4,"&lt;30")</f>
        <v>1</v>
      </c>
    </row>
    <row r="7" spans="1:23">
      <c r="A7" t="s">
        <v>3</v>
      </c>
      <c r="I7">
        <f>MEDIAN(A4:Q4)</f>
        <v>56</v>
      </c>
      <c r="T7">
        <v>30</v>
      </c>
      <c r="U7">
        <f>COUNTIF(A4:Q4,"&lt;40")-SUM(U6:U6)</f>
        <v>5</v>
      </c>
    </row>
    <row r="8" spans="1:23">
      <c r="A8" t="s">
        <v>4</v>
      </c>
      <c r="I8">
        <f>MODE(A4:Q4)</f>
        <v>36</v>
      </c>
      <c r="T8">
        <v>40</v>
      </c>
      <c r="U8">
        <f>COUNTIF(A4:Q4,"&lt;50")-SUM(U6:U7)</f>
        <v>1</v>
      </c>
    </row>
    <row r="9" spans="1:23">
      <c r="A9" t="s">
        <v>5</v>
      </c>
      <c r="I9">
        <f>(MAX(A4:Q4)+MIN(A4:Q4))/2</f>
        <v>62</v>
      </c>
      <c r="T9">
        <v>50</v>
      </c>
      <c r="U9">
        <f>COUNTIF(A4:Q4,"&lt;60")-SUM(U6:U8)</f>
        <v>2</v>
      </c>
    </row>
    <row r="10" spans="1:23">
      <c r="A10" t="s">
        <v>6</v>
      </c>
      <c r="I10">
        <f>STDEV(A4:Q4)</f>
        <v>25.117810648316979</v>
      </c>
      <c r="T10">
        <v>60</v>
      </c>
      <c r="U10">
        <f>COUNTIF(A4:Q4,"&lt;70")-SUM(U6:U9)</f>
        <v>1</v>
      </c>
      <c r="W10">
        <f>STDEVP(A4:Q4)</f>
        <v>24.367855620535277</v>
      </c>
    </row>
    <row r="11" spans="1:23">
      <c r="A11" t="s">
        <v>7</v>
      </c>
      <c r="I11">
        <f>MAX(A4:Q4)-MIN(A4:Q4)</f>
        <v>72</v>
      </c>
      <c r="T11">
        <v>70</v>
      </c>
      <c r="U11">
        <f>COUNTIF(A4:Q4,"&lt;80")-SUM(U6:U10)</f>
        <v>1</v>
      </c>
    </row>
    <row r="12" spans="1:23">
      <c r="A12" t="s">
        <v>8</v>
      </c>
      <c r="I12">
        <f>QUARTILE(A4:Q4,1)</f>
        <v>36</v>
      </c>
      <c r="T12">
        <v>80</v>
      </c>
      <c r="U12">
        <f>COUNTIF(A4:Q4,"&lt;90")-SUM(U6:U11)</f>
        <v>4</v>
      </c>
    </row>
    <row r="13" spans="1:23">
      <c r="A13" t="s">
        <v>9</v>
      </c>
      <c r="I13">
        <f>QUARTILE(A4:Q4,3)</f>
        <v>87</v>
      </c>
      <c r="T13">
        <v>90</v>
      </c>
      <c r="U13">
        <f>COUNTIF(A4:Q4,"&lt;100")-SUM(U6:U12)</f>
        <v>2</v>
      </c>
    </row>
    <row r="14" spans="1:23">
      <c r="A14" t="s">
        <v>10</v>
      </c>
      <c r="I14">
        <f>I13-I12</f>
        <v>51</v>
      </c>
      <c r="U14">
        <f>SUM(U6:U13)</f>
        <v>17</v>
      </c>
    </row>
    <row r="15" spans="1:23">
      <c r="A15" t="s">
        <v>11</v>
      </c>
      <c r="I15">
        <f>MIN(A4:Q4)</f>
        <v>26</v>
      </c>
    </row>
    <row r="16" spans="1:23">
      <c r="A16" t="s">
        <v>12</v>
      </c>
      <c r="I16">
        <f>MAX(A4:Q4)</f>
        <v>98</v>
      </c>
    </row>
    <row r="18" spans="1:23">
      <c r="A18" t="s">
        <v>15</v>
      </c>
    </row>
    <row r="19" spans="1:23">
      <c r="A19">
        <v>52</v>
      </c>
      <c r="B19">
        <v>62</v>
      </c>
      <c r="C19">
        <v>90</v>
      </c>
      <c r="D19">
        <v>36</v>
      </c>
      <c r="E19">
        <v>53</v>
      </c>
      <c r="F19">
        <v>56</v>
      </c>
      <c r="G19">
        <v>69</v>
      </c>
      <c r="H19">
        <v>39</v>
      </c>
      <c r="I19">
        <v>56</v>
      </c>
      <c r="J19">
        <v>43</v>
      </c>
      <c r="K19">
        <v>31</v>
      </c>
      <c r="L19">
        <v>67</v>
      </c>
      <c r="M19">
        <v>33</v>
      </c>
      <c r="N19">
        <v>45</v>
      </c>
      <c r="O19">
        <v>37</v>
      </c>
      <c r="P19">
        <v>42</v>
      </c>
      <c r="Q19">
        <v>56</v>
      </c>
    </row>
    <row r="20" spans="1:23">
      <c r="A20">
        <v>31</v>
      </c>
      <c r="B20">
        <v>33</v>
      </c>
      <c r="C20">
        <v>36</v>
      </c>
      <c r="D20">
        <v>37</v>
      </c>
      <c r="E20">
        <v>39</v>
      </c>
      <c r="F20">
        <v>42</v>
      </c>
      <c r="G20">
        <v>43</v>
      </c>
      <c r="H20">
        <v>45</v>
      </c>
      <c r="I20">
        <v>52</v>
      </c>
      <c r="J20">
        <v>53</v>
      </c>
      <c r="K20">
        <v>56</v>
      </c>
      <c r="L20">
        <v>56</v>
      </c>
      <c r="M20">
        <v>56</v>
      </c>
      <c r="N20">
        <v>62</v>
      </c>
      <c r="O20">
        <v>67</v>
      </c>
      <c r="P20">
        <v>69</v>
      </c>
      <c r="Q20">
        <v>90</v>
      </c>
    </row>
    <row r="21" spans="1:23">
      <c r="A21" t="s">
        <v>2</v>
      </c>
      <c r="I21">
        <f>AVERAGE(A19:Q19)</f>
        <v>51</v>
      </c>
      <c r="T21">
        <v>20</v>
      </c>
      <c r="U21">
        <f>COUNTIF(A19:Q19,"&lt;30")</f>
        <v>0</v>
      </c>
    </row>
    <row r="22" spans="1:23">
      <c r="A22" t="s">
        <v>3</v>
      </c>
      <c r="I22">
        <f>MEDIAN(A19:Q19)</f>
        <v>52</v>
      </c>
      <c r="T22">
        <v>30</v>
      </c>
      <c r="U22">
        <f>COUNTIF(A19:Q19,"&lt;40")-SUM(U21:U21)</f>
        <v>5</v>
      </c>
    </row>
    <row r="23" spans="1:23">
      <c r="A23" t="s">
        <v>4</v>
      </c>
      <c r="I23">
        <f>MODE(A19:Q19)</f>
        <v>56</v>
      </c>
      <c r="T23">
        <v>40</v>
      </c>
      <c r="U23">
        <f>COUNTIF(A19:Q19,"&lt;50")-SUM(U21:U22)</f>
        <v>3</v>
      </c>
    </row>
    <row r="24" spans="1:23">
      <c r="A24" t="s">
        <v>5</v>
      </c>
      <c r="I24">
        <f>(MAX(A19:Q19)+MIN(A19:Q19))/2</f>
        <v>60.5</v>
      </c>
      <c r="T24">
        <v>50</v>
      </c>
      <c r="U24">
        <f>COUNTIF(A19:Q19,"&lt;60")-SUM(U21:U23)</f>
        <v>5</v>
      </c>
    </row>
    <row r="25" spans="1:23">
      <c r="A25" t="s">
        <v>6</v>
      </c>
      <c r="I25">
        <f>STDEV(A19:Q19)</f>
        <v>15.354152532784088</v>
      </c>
      <c r="T25">
        <v>60</v>
      </c>
      <c r="U25">
        <f>COUNTIF(A19:Q19,"&lt;70")-SUM(U21:U24)</f>
        <v>3</v>
      </c>
      <c r="W25">
        <f>STDEVP(A19:Q19)</f>
        <v>14.895715925767934</v>
      </c>
    </row>
    <row r="26" spans="1:23">
      <c r="A26" t="s">
        <v>7</v>
      </c>
      <c r="I26">
        <f>MAX(A19:Q19)-MIN(A19:Q19)</f>
        <v>59</v>
      </c>
      <c r="T26">
        <v>70</v>
      </c>
      <c r="U26">
        <f>COUNTIF(A19:Q19,"&lt;80")-SUM(U21:U25)</f>
        <v>0</v>
      </c>
    </row>
    <row r="27" spans="1:23">
      <c r="A27" t="s">
        <v>8</v>
      </c>
      <c r="I27">
        <f>QUARTILE(A19:Q19,1)</f>
        <v>39</v>
      </c>
      <c r="T27">
        <v>80</v>
      </c>
      <c r="U27">
        <f>COUNTIF(A19:Q19,"&lt;90")-SUM(U21:U26)</f>
        <v>0</v>
      </c>
    </row>
    <row r="28" spans="1:23">
      <c r="A28" t="s">
        <v>9</v>
      </c>
      <c r="I28">
        <f>QUARTILE(A19:Q19,3)</f>
        <v>56</v>
      </c>
      <c r="T28">
        <v>90</v>
      </c>
      <c r="U28">
        <f>COUNTIF(A19:Q19,"&lt;100")-SUM(U21:U27)</f>
        <v>1</v>
      </c>
    </row>
    <row r="29" spans="1:23">
      <c r="A29" t="s">
        <v>10</v>
      </c>
      <c r="I29">
        <f>I28-I27</f>
        <v>17</v>
      </c>
      <c r="U29">
        <f>SUM(U21:U28)</f>
        <v>17</v>
      </c>
    </row>
    <row r="30" spans="1:23">
      <c r="A30" t="s">
        <v>11</v>
      </c>
      <c r="I30">
        <f>MIN(A19:Q19)</f>
        <v>31</v>
      </c>
    </row>
    <row r="31" spans="1:23">
      <c r="A31" t="s">
        <v>12</v>
      </c>
      <c r="I31">
        <f>MAX(A19:Q19)</f>
        <v>90</v>
      </c>
    </row>
    <row r="33" spans="1:23">
      <c r="A33" t="s">
        <v>18</v>
      </c>
    </row>
    <row r="34" spans="1:23">
      <c r="A34">
        <v>23</v>
      </c>
      <c r="B34">
        <v>52</v>
      </c>
      <c r="C34">
        <v>80</v>
      </c>
      <c r="D34">
        <v>53</v>
      </c>
      <c r="E34">
        <v>38</v>
      </c>
      <c r="F34">
        <v>91</v>
      </c>
      <c r="G34">
        <v>52</v>
      </c>
      <c r="H34">
        <v>24</v>
      </c>
      <c r="I34">
        <v>20</v>
      </c>
      <c r="J34">
        <v>25</v>
      </c>
      <c r="K34">
        <v>55</v>
      </c>
      <c r="L34">
        <v>23</v>
      </c>
      <c r="M34">
        <v>25</v>
      </c>
      <c r="N34">
        <v>80</v>
      </c>
      <c r="O34">
        <v>92</v>
      </c>
      <c r="P34">
        <v>20</v>
      </c>
      <c r="Q34">
        <v>98</v>
      </c>
    </row>
    <row r="35" spans="1:23">
      <c r="A35">
        <v>20</v>
      </c>
      <c r="B35">
        <v>20</v>
      </c>
      <c r="C35">
        <v>23</v>
      </c>
      <c r="D35">
        <v>23</v>
      </c>
      <c r="E35">
        <v>24</v>
      </c>
      <c r="F35">
        <v>25</v>
      </c>
      <c r="G35">
        <v>25</v>
      </c>
      <c r="H35">
        <v>38</v>
      </c>
      <c r="I35">
        <v>52</v>
      </c>
      <c r="J35">
        <v>52</v>
      </c>
      <c r="K35">
        <v>53</v>
      </c>
      <c r="L35">
        <v>55</v>
      </c>
      <c r="M35">
        <v>80</v>
      </c>
      <c r="N35">
        <v>80</v>
      </c>
      <c r="O35">
        <v>91</v>
      </c>
      <c r="P35">
        <v>92</v>
      </c>
      <c r="Q35">
        <v>98</v>
      </c>
    </row>
    <row r="36" spans="1:23">
      <c r="A36" t="s">
        <v>2</v>
      </c>
      <c r="I36">
        <f>AVERAGE(A34:Q34)</f>
        <v>50.058823529411768</v>
      </c>
      <c r="T36">
        <v>20</v>
      </c>
      <c r="U36">
        <f>COUNTIF(A34:Q34,"&lt;30")</f>
        <v>7</v>
      </c>
    </row>
    <row r="37" spans="1:23">
      <c r="A37" t="s">
        <v>3</v>
      </c>
      <c r="I37">
        <f>MEDIAN(A34:Q34)</f>
        <v>52</v>
      </c>
      <c r="T37">
        <v>30</v>
      </c>
      <c r="U37">
        <f>COUNTIF(A34:Q34,"&lt;40")-SUM(U36:U36)</f>
        <v>1</v>
      </c>
    </row>
    <row r="38" spans="1:23">
      <c r="A38" t="s">
        <v>4</v>
      </c>
      <c r="I38">
        <f>MODE(A34:Q34)</f>
        <v>23</v>
      </c>
      <c r="T38">
        <v>40</v>
      </c>
      <c r="U38">
        <f>COUNTIF(A34:Q34,"&lt;50")-SUM(U36:U37)</f>
        <v>0</v>
      </c>
      <c r="W38">
        <f>MODE(A35:Q35)</f>
        <v>20</v>
      </c>
    </row>
    <row r="39" spans="1:23">
      <c r="A39" t="s">
        <v>5</v>
      </c>
      <c r="I39">
        <f>(MAX(A34:Q34)+MIN(A34:Q34))/2</f>
        <v>59</v>
      </c>
      <c r="T39">
        <v>50</v>
      </c>
      <c r="U39">
        <f>COUNTIF(A34:Q34,"&lt;60")-SUM(U36:U38)</f>
        <v>4</v>
      </c>
    </row>
    <row r="40" spans="1:23">
      <c r="A40" t="s">
        <v>6</v>
      </c>
      <c r="I40">
        <f>STDEV(A34:Q34)</f>
        <v>28.415380052524579</v>
      </c>
      <c r="T40">
        <v>60</v>
      </c>
      <c r="U40">
        <f>COUNTIF(A34:Q34,"&lt;70")-SUM(U36:U39)</f>
        <v>0</v>
      </c>
      <c r="W40">
        <f>STDEVP(A34:Q34)</f>
        <v>27.566967846735988</v>
      </c>
    </row>
    <row r="41" spans="1:23">
      <c r="A41" t="s">
        <v>7</v>
      </c>
      <c r="I41">
        <f>MAX(A34:Q34)-MIN(A34:Q34)</f>
        <v>78</v>
      </c>
      <c r="T41">
        <v>70</v>
      </c>
      <c r="U41">
        <f>COUNTIF(A34:Q34,"&lt;80")-SUM(U36:U40)</f>
        <v>0</v>
      </c>
    </row>
    <row r="42" spans="1:23">
      <c r="A42" t="s">
        <v>8</v>
      </c>
      <c r="I42">
        <f>QUARTILE(A34:Q34,1)</f>
        <v>24</v>
      </c>
      <c r="T42">
        <v>80</v>
      </c>
      <c r="U42">
        <f>COUNTIF(A34:Q34,"&lt;90")-SUM(U36:U41)</f>
        <v>2</v>
      </c>
    </row>
    <row r="43" spans="1:23">
      <c r="A43" t="s">
        <v>9</v>
      </c>
      <c r="I43">
        <f>QUARTILE(A34:Q34,3)</f>
        <v>80</v>
      </c>
      <c r="T43">
        <v>90</v>
      </c>
      <c r="U43">
        <f>COUNTIF(A34:Q34,"&lt;100")-SUM(U36:U42)</f>
        <v>3</v>
      </c>
    </row>
    <row r="44" spans="1:23">
      <c r="A44" t="s">
        <v>10</v>
      </c>
      <c r="I44">
        <f>I43-I42</f>
        <v>56</v>
      </c>
      <c r="U44">
        <f>SUM(U36:U43)</f>
        <v>17</v>
      </c>
    </row>
    <row r="45" spans="1:23">
      <c r="A45" t="s">
        <v>11</v>
      </c>
      <c r="I45">
        <f>MIN(A34:Q34)</f>
        <v>20</v>
      </c>
    </row>
    <row r="46" spans="1:23">
      <c r="A46" t="s">
        <v>12</v>
      </c>
      <c r="I46">
        <f>MAX(A34:Q34)</f>
        <v>98</v>
      </c>
    </row>
    <row r="48" spans="1:23">
      <c r="A48" t="s">
        <v>21</v>
      </c>
    </row>
    <row r="49" spans="1:23">
      <c r="A49">
        <v>32</v>
      </c>
      <c r="B49">
        <v>66</v>
      </c>
      <c r="C49">
        <v>56</v>
      </c>
      <c r="D49">
        <v>25</v>
      </c>
      <c r="E49">
        <v>62</v>
      </c>
      <c r="F49">
        <v>93</v>
      </c>
      <c r="G49">
        <v>21</v>
      </c>
      <c r="H49">
        <v>77</v>
      </c>
      <c r="I49">
        <v>68</v>
      </c>
      <c r="J49">
        <v>48</v>
      </c>
      <c r="K49">
        <v>69</v>
      </c>
      <c r="L49">
        <v>61</v>
      </c>
      <c r="M49">
        <v>23</v>
      </c>
      <c r="N49">
        <v>23</v>
      </c>
      <c r="O49">
        <v>90</v>
      </c>
      <c r="P49">
        <v>27</v>
      </c>
      <c r="Q49">
        <v>41</v>
      </c>
    </row>
    <row r="50" spans="1:23">
      <c r="A50">
        <v>21</v>
      </c>
      <c r="B50">
        <v>23</v>
      </c>
      <c r="C50">
        <v>23</v>
      </c>
      <c r="D50">
        <v>25</v>
      </c>
      <c r="E50">
        <v>27</v>
      </c>
      <c r="F50">
        <v>32</v>
      </c>
      <c r="G50">
        <v>41</v>
      </c>
      <c r="H50">
        <v>48</v>
      </c>
      <c r="I50">
        <v>56</v>
      </c>
      <c r="J50">
        <v>61</v>
      </c>
      <c r="K50">
        <v>62</v>
      </c>
      <c r="L50">
        <v>66</v>
      </c>
      <c r="M50">
        <v>68</v>
      </c>
      <c r="N50">
        <v>69</v>
      </c>
      <c r="O50">
        <v>77</v>
      </c>
      <c r="P50">
        <v>90</v>
      </c>
      <c r="Q50">
        <v>93</v>
      </c>
    </row>
    <row r="51" spans="1:23">
      <c r="A51" t="s">
        <v>2</v>
      </c>
      <c r="I51">
        <f>AVERAGE(A49:Q49)</f>
        <v>51.882352941176471</v>
      </c>
      <c r="T51">
        <v>20</v>
      </c>
      <c r="U51">
        <f>COUNTIF(A49:Q49,"&lt;30")</f>
        <v>5</v>
      </c>
    </row>
    <row r="52" spans="1:23">
      <c r="A52" t="s">
        <v>3</v>
      </c>
      <c r="I52">
        <f>MEDIAN(A49:Q49)</f>
        <v>56</v>
      </c>
      <c r="T52">
        <v>30</v>
      </c>
      <c r="U52">
        <f>COUNTIF(A49:Q49,"&lt;40")-SUM(U51:U51)</f>
        <v>1</v>
      </c>
    </row>
    <row r="53" spans="1:23">
      <c r="A53" t="s">
        <v>4</v>
      </c>
      <c r="I53">
        <f>MODE(A49:Q49)</f>
        <v>23</v>
      </c>
      <c r="T53">
        <v>40</v>
      </c>
      <c r="U53">
        <f>COUNTIF(A49:Q49,"&lt;50")-SUM(U51:U52)</f>
        <v>2</v>
      </c>
    </row>
    <row r="54" spans="1:23">
      <c r="A54" t="s">
        <v>5</v>
      </c>
      <c r="I54">
        <f>(MAX(A49:Q49)+MIN(A49:Q49))/2</f>
        <v>57</v>
      </c>
      <c r="T54">
        <v>50</v>
      </c>
      <c r="U54">
        <f>COUNTIF(A49:Q49,"&lt;60")-SUM(U51:U53)</f>
        <v>1</v>
      </c>
    </row>
    <row r="55" spans="1:23">
      <c r="A55" t="s">
        <v>6</v>
      </c>
      <c r="I55">
        <f>STDEV(A49:Q49)</f>
        <v>24.007504954027333</v>
      </c>
      <c r="T55">
        <v>60</v>
      </c>
      <c r="U55">
        <f>COUNTIF(A49:Q49,"&lt;70")-SUM(U51:U54)</f>
        <v>5</v>
      </c>
      <c r="W55">
        <f>STDEVP(A49:Q49)</f>
        <v>23.290700878351519</v>
      </c>
    </row>
    <row r="56" spans="1:23">
      <c r="A56" t="s">
        <v>7</v>
      </c>
      <c r="I56">
        <f>MAX(A49:Q49)-MIN(A49:Q49)</f>
        <v>72</v>
      </c>
      <c r="T56">
        <v>70</v>
      </c>
      <c r="U56">
        <f>COUNTIF(A49:Q49,"&lt;80")-SUM(U51:U55)</f>
        <v>1</v>
      </c>
    </row>
    <row r="57" spans="1:23">
      <c r="A57" t="s">
        <v>8</v>
      </c>
      <c r="I57">
        <f>QUARTILE(A49:Q49,1)</f>
        <v>27</v>
      </c>
      <c r="T57">
        <v>80</v>
      </c>
      <c r="U57">
        <f>COUNTIF(A49:Q49,"&lt;90")-SUM(U51:U56)</f>
        <v>0</v>
      </c>
    </row>
    <row r="58" spans="1:23">
      <c r="A58" t="s">
        <v>9</v>
      </c>
      <c r="I58">
        <f>QUARTILE(A49:Q49,3)</f>
        <v>68</v>
      </c>
      <c r="T58">
        <v>90</v>
      </c>
      <c r="U58">
        <f>COUNTIF(A49:Q49,"&lt;100")-SUM(U51:U57)</f>
        <v>2</v>
      </c>
    </row>
    <row r="59" spans="1:23">
      <c r="A59" t="s">
        <v>10</v>
      </c>
      <c r="I59">
        <f>I58-I57</f>
        <v>41</v>
      </c>
      <c r="U59">
        <f>SUM(U51:U58)</f>
        <v>17</v>
      </c>
    </row>
    <row r="60" spans="1:23">
      <c r="A60" t="s">
        <v>11</v>
      </c>
      <c r="I60">
        <f>MIN(A49:Q49)</f>
        <v>21</v>
      </c>
    </row>
    <row r="61" spans="1:23">
      <c r="A61" t="s">
        <v>12</v>
      </c>
      <c r="I61">
        <f>MAX(A49:Q49)</f>
        <v>93</v>
      </c>
    </row>
    <row r="63" spans="1:23">
      <c r="A63" t="s">
        <v>24</v>
      </c>
    </row>
    <row r="64" spans="1:23">
      <c r="A64">
        <v>86</v>
      </c>
      <c r="B64">
        <v>53</v>
      </c>
      <c r="C64">
        <v>74</v>
      </c>
      <c r="D64">
        <v>26</v>
      </c>
      <c r="E64">
        <v>90</v>
      </c>
      <c r="F64">
        <v>84</v>
      </c>
      <c r="G64">
        <v>21</v>
      </c>
      <c r="H64">
        <v>41</v>
      </c>
      <c r="I64">
        <v>68</v>
      </c>
      <c r="J64">
        <v>99</v>
      </c>
      <c r="K64">
        <v>37</v>
      </c>
      <c r="L64">
        <v>92</v>
      </c>
      <c r="M64">
        <v>49</v>
      </c>
      <c r="N64">
        <v>57</v>
      </c>
      <c r="O64">
        <v>37</v>
      </c>
      <c r="P64">
        <v>67</v>
      </c>
      <c r="Q64">
        <v>47</v>
      </c>
    </row>
    <row r="66" spans="1:21">
      <c r="A66" t="s">
        <v>2</v>
      </c>
      <c r="I66">
        <f>AVERAGE(A64:Q64)</f>
        <v>60.470588235294116</v>
      </c>
      <c r="T66">
        <v>20</v>
      </c>
      <c r="U66">
        <f>COUNTIF(A64:Q64,"&lt;30")</f>
        <v>2</v>
      </c>
    </row>
    <row r="67" spans="1:21">
      <c r="A67" t="s">
        <v>3</v>
      </c>
      <c r="I67">
        <f>MEDIAN(A64:Q64)</f>
        <v>57</v>
      </c>
      <c r="T67">
        <v>30</v>
      </c>
      <c r="U67">
        <f>COUNTIF(A64:Q64,"&lt;40")-SUM(U66:U66)</f>
        <v>2</v>
      </c>
    </row>
    <row r="68" spans="1:21">
      <c r="A68" t="s">
        <v>4</v>
      </c>
      <c r="I68">
        <f>MODE(A64:Q64)</f>
        <v>37</v>
      </c>
      <c r="T68">
        <v>40</v>
      </c>
      <c r="U68">
        <f>COUNTIF(A64:Q64,"&lt;50")-SUM(U66:U67)</f>
        <v>3</v>
      </c>
    </row>
    <row r="69" spans="1:21">
      <c r="A69" t="s">
        <v>5</v>
      </c>
      <c r="I69">
        <f>(MAX(A64:Q64)+MIN(A64:Q64))/2</f>
        <v>60</v>
      </c>
      <c r="T69">
        <v>50</v>
      </c>
      <c r="U69">
        <f>COUNTIF(A64:Q64,"&lt;60")-SUM(U66:U68)</f>
        <v>2</v>
      </c>
    </row>
    <row r="70" spans="1:21">
      <c r="A70" t="s">
        <v>6</v>
      </c>
      <c r="I70">
        <f>STDEV(A64:Q64)</f>
        <v>24.29793624739256</v>
      </c>
      <c r="T70">
        <v>60</v>
      </c>
      <c r="U70">
        <f>COUNTIF(A64:Q64,"&lt;70")-SUM(U66:U69)</f>
        <v>2</v>
      </c>
    </row>
    <row r="71" spans="1:21">
      <c r="A71" t="s">
        <v>7</v>
      </c>
      <c r="I71">
        <f>MAX(A64:Q64)-MIN(A64:M64)</f>
        <v>78</v>
      </c>
      <c r="T71">
        <v>70</v>
      </c>
      <c r="U71">
        <f>COUNTIF(A64:Q64,"&lt;80")-SUM(U66:U70)</f>
        <v>1</v>
      </c>
    </row>
    <row r="72" spans="1:21">
      <c r="A72" t="s">
        <v>8</v>
      </c>
      <c r="I72">
        <f>QUARTILE(A64:Q64,1)</f>
        <v>41</v>
      </c>
      <c r="T72">
        <v>80</v>
      </c>
      <c r="U72">
        <f>COUNTIF(A64:Q64,"&lt;90")-SUM(U66:U71)</f>
        <v>2</v>
      </c>
    </row>
    <row r="73" spans="1:21">
      <c r="A73" t="s">
        <v>9</v>
      </c>
      <c r="I73">
        <f>QUARTILE(A64:Q64,3)</f>
        <v>84</v>
      </c>
      <c r="T73">
        <v>90</v>
      </c>
      <c r="U73">
        <f>COUNTIF(A64:Q64,"&lt;100")-SUM(U66:U72)</f>
        <v>3</v>
      </c>
    </row>
    <row r="74" spans="1:21">
      <c r="A74" t="s">
        <v>10</v>
      </c>
      <c r="I74">
        <f>I73-I72</f>
        <v>43</v>
      </c>
      <c r="U74">
        <f>SUM(U66:U73)</f>
        <v>17</v>
      </c>
    </row>
    <row r="75" spans="1:21">
      <c r="A75" t="s">
        <v>11</v>
      </c>
      <c r="I75">
        <f>MIN(A64:Q64)</f>
        <v>21</v>
      </c>
    </row>
    <row r="76" spans="1:21">
      <c r="A76" t="s">
        <v>12</v>
      </c>
      <c r="I76">
        <f>MAX(A64:Q64)</f>
        <v>99</v>
      </c>
    </row>
    <row r="79" spans="1:21">
      <c r="A79">
        <v>58</v>
      </c>
      <c r="B79">
        <v>93</v>
      </c>
      <c r="C79">
        <v>68</v>
      </c>
      <c r="D79">
        <v>74</v>
      </c>
      <c r="E79">
        <v>33</v>
      </c>
      <c r="F79">
        <v>25</v>
      </c>
      <c r="G79">
        <v>83</v>
      </c>
      <c r="H79">
        <v>52</v>
      </c>
      <c r="I79">
        <v>61</v>
      </c>
      <c r="J79">
        <v>98</v>
      </c>
      <c r="K79">
        <v>86</v>
      </c>
      <c r="L79">
        <v>40</v>
      </c>
      <c r="M79">
        <v>59</v>
      </c>
      <c r="N79">
        <v>53</v>
      </c>
      <c r="O79">
        <v>68</v>
      </c>
      <c r="P79">
        <v>37</v>
      </c>
      <c r="Q79">
        <v>72</v>
      </c>
    </row>
    <row r="81" spans="1:21">
      <c r="A81" t="s">
        <v>2</v>
      </c>
      <c r="I81">
        <f>AVERAGE(A79:Q79)</f>
        <v>62.352941176470587</v>
      </c>
      <c r="T81">
        <v>20</v>
      </c>
      <c r="U81">
        <f>COUNTIF(A79:Q79,"&lt;30")</f>
        <v>1</v>
      </c>
    </row>
    <row r="82" spans="1:21">
      <c r="A82" t="s">
        <v>3</v>
      </c>
      <c r="I82">
        <f>MEDIAN(A79:Q79)</f>
        <v>61</v>
      </c>
      <c r="T82">
        <v>30</v>
      </c>
      <c r="U82">
        <f>COUNTIF(A79:Q79,"&lt;40")-SUM(U81:U81)</f>
        <v>2</v>
      </c>
    </row>
    <row r="83" spans="1:21">
      <c r="A83" t="s">
        <v>4</v>
      </c>
      <c r="I83">
        <f>MODE(A79:Q79)</f>
        <v>68</v>
      </c>
      <c r="T83">
        <v>40</v>
      </c>
      <c r="U83">
        <f>COUNTIF(A79:Q79,"&lt;50")-SUM(U81:U82)</f>
        <v>1</v>
      </c>
    </row>
    <row r="84" spans="1:21">
      <c r="A84" t="s">
        <v>5</v>
      </c>
      <c r="I84">
        <f>(MAX(A79:Q79)+MIN(A79:Q79))/2</f>
        <v>61.5</v>
      </c>
      <c r="T84">
        <v>50</v>
      </c>
      <c r="U84">
        <f>COUNTIF(A79:Q79,"&lt;60")-SUM(U81:U83)</f>
        <v>4</v>
      </c>
    </row>
    <row r="85" spans="1:21">
      <c r="A85" t="s">
        <v>6</v>
      </c>
      <c r="I85">
        <f>STDEV(A79:Q79)</f>
        <v>21.085958528338793</v>
      </c>
      <c r="T85">
        <v>60</v>
      </c>
      <c r="U85">
        <f>COUNTIF(A79:Q79,"&lt;70")-SUM(U81:U84)</f>
        <v>3</v>
      </c>
    </row>
    <row r="86" spans="1:21">
      <c r="A86" t="s">
        <v>7</v>
      </c>
      <c r="I86">
        <f>MAX(A79:Q79)-MIN(A79:M79)</f>
        <v>73</v>
      </c>
      <c r="T86">
        <v>70</v>
      </c>
      <c r="U86">
        <f>COUNTIF(A79:Q79,"&lt;80")-SUM(U81:U85)</f>
        <v>2</v>
      </c>
    </row>
    <row r="87" spans="1:21">
      <c r="A87" t="s">
        <v>8</v>
      </c>
      <c r="I87">
        <f>QUARTILE(A79:Q79,1)</f>
        <v>52</v>
      </c>
      <c r="T87">
        <v>80</v>
      </c>
      <c r="U87">
        <f>COUNTIF(A79:Q79,"&lt;90")-SUM(U81:U86)</f>
        <v>2</v>
      </c>
    </row>
    <row r="88" spans="1:21">
      <c r="A88" t="s">
        <v>9</v>
      </c>
      <c r="I88">
        <f>QUARTILE(A79:Q79,3)</f>
        <v>74</v>
      </c>
      <c r="T88">
        <v>90</v>
      </c>
      <c r="U88">
        <f>COUNTIF(A79:Q79,"&lt;100")-SUM(U81:U87)</f>
        <v>2</v>
      </c>
    </row>
    <row r="89" spans="1:21">
      <c r="A89" t="s">
        <v>10</v>
      </c>
      <c r="I89">
        <f>I88-I87</f>
        <v>22</v>
      </c>
      <c r="U89">
        <f>SUM(U81:U88)</f>
        <v>17</v>
      </c>
    </row>
    <row r="90" spans="1:21">
      <c r="A90" t="s">
        <v>11</v>
      </c>
      <c r="I90">
        <f>MIN(A79:Q79)</f>
        <v>25</v>
      </c>
    </row>
    <row r="91" spans="1:21">
      <c r="A91" t="s">
        <v>12</v>
      </c>
      <c r="I91">
        <f>MAX(A79:Q79)</f>
        <v>98</v>
      </c>
    </row>
  </sheetData>
  <sortState columnSort="1" ref="A50:Q50">
    <sortCondition ref="A50:Q5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Euclidean</vt:lpstr>
      <vt:lpstr>Experiment</vt:lpstr>
      <vt:lpstr>Stat-Data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Pearce</dc:creator>
  <cp:lastModifiedBy>Kent Pearce</cp:lastModifiedBy>
  <dcterms:created xsi:type="dcterms:W3CDTF">2011-10-16T17:10:26Z</dcterms:created>
  <dcterms:modified xsi:type="dcterms:W3CDTF">2011-10-25T16:39:02Z</dcterms:modified>
</cp:coreProperties>
</file>