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15645" activeTab="3"/>
  </bookViews>
  <sheets>
    <sheet name="Section A" sheetId="1" r:id="rId1"/>
    <sheet name="Section B" sheetId="2" r:id="rId2"/>
    <sheet name="Section C-1" sheetId="4" r:id="rId3"/>
    <sheet name="Section C-2" sheetId="3" r:id="rId4"/>
  </sheets>
  <calcPr calcId="125725"/>
</workbook>
</file>

<file path=xl/calcChain.xml><?xml version="1.0" encoding="utf-8"?>
<calcChain xmlns="http://schemas.openxmlformats.org/spreadsheetml/2006/main">
  <c r="M32" i="1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M1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1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"/>
  <c r="D12" i="3"/>
  <c r="C12"/>
  <c r="B12"/>
  <c r="N12"/>
  <c r="M12"/>
  <c r="L12"/>
  <c r="K12"/>
  <c r="J12"/>
  <c r="I12"/>
  <c r="H12"/>
  <c r="G12"/>
  <c r="F12"/>
  <c r="E12"/>
  <c r="L7"/>
  <c r="K7"/>
  <c r="J7"/>
  <c r="I7"/>
  <c r="H7"/>
  <c r="G7"/>
  <c r="F7"/>
  <c r="E7"/>
  <c r="E8" s="1"/>
  <c r="D7"/>
  <c r="D8" s="1"/>
  <c r="C7"/>
  <c r="C8" s="1"/>
  <c r="B7"/>
  <c r="L3"/>
  <c r="D3"/>
  <c r="E3"/>
  <c r="F3"/>
  <c r="G3"/>
  <c r="H3"/>
  <c r="I3"/>
  <c r="J3"/>
  <c r="K3"/>
  <c r="C3"/>
  <c r="C2"/>
  <c r="D2"/>
  <c r="E2"/>
  <c r="F2"/>
  <c r="G2"/>
  <c r="H2"/>
  <c r="I2"/>
  <c r="J2"/>
  <c r="K2"/>
  <c r="L2"/>
  <c r="B2"/>
  <c r="A47" i="4"/>
  <c r="C47"/>
  <c r="K50"/>
  <c r="C44"/>
  <c r="D44" s="1"/>
  <c r="C34"/>
  <c r="K37" s="1"/>
  <c r="L24"/>
  <c r="K24"/>
  <c r="J24"/>
  <c r="I24"/>
  <c r="H24"/>
  <c r="G24"/>
  <c r="F24"/>
  <c r="E24"/>
  <c r="D24"/>
  <c r="C24"/>
  <c r="B24"/>
  <c r="A24"/>
  <c r="C21"/>
  <c r="E11"/>
  <c r="G11"/>
  <c r="I11"/>
  <c r="K11"/>
  <c r="A11"/>
  <c r="A8"/>
  <c r="B11" s="1"/>
  <c r="C31"/>
  <c r="D31" s="1"/>
  <c r="C18"/>
  <c r="D18" s="1"/>
  <c r="C5"/>
  <c r="D5" s="1"/>
  <c r="D13" i="3" l="1"/>
  <c r="C13"/>
  <c r="N13"/>
  <c r="M13"/>
  <c r="L13"/>
  <c r="K13"/>
  <c r="J13"/>
  <c r="I13"/>
  <c r="H13"/>
  <c r="G13"/>
  <c r="F13"/>
  <c r="E13"/>
  <c r="L8"/>
  <c r="K8"/>
  <c r="J8"/>
  <c r="I8"/>
  <c r="H8"/>
  <c r="F8"/>
  <c r="G8"/>
  <c r="E44" i="4"/>
  <c r="F44" s="1"/>
  <c r="B50"/>
  <c r="D50"/>
  <c r="F50"/>
  <c r="H50"/>
  <c r="J50"/>
  <c r="L50"/>
  <c r="A50"/>
  <c r="C50"/>
  <c r="E50"/>
  <c r="G50"/>
  <c r="I50"/>
  <c r="B37"/>
  <c r="D37"/>
  <c r="F37"/>
  <c r="H37"/>
  <c r="J37"/>
  <c r="L37"/>
  <c r="A37"/>
  <c r="C37"/>
  <c r="E37"/>
  <c r="G37"/>
  <c r="I37"/>
  <c r="C11"/>
  <c r="L11"/>
  <c r="J11"/>
  <c r="H11"/>
  <c r="F11"/>
  <c r="D11"/>
  <c r="E5"/>
  <c r="E18"/>
  <c r="E31"/>
  <c r="F31" s="1"/>
  <c r="G44" l="1"/>
  <c r="H44" s="1"/>
  <c r="F18"/>
  <c r="G31"/>
  <c r="H31" s="1"/>
  <c r="G5"/>
  <c r="F5"/>
  <c r="I44" l="1"/>
  <c r="J44" s="1"/>
  <c r="I5"/>
  <c r="H5"/>
  <c r="I31"/>
  <c r="G18"/>
  <c r="H18" s="1"/>
  <c r="K44" l="1"/>
  <c r="L44" s="1"/>
  <c r="J18"/>
  <c r="I18"/>
  <c r="J5"/>
  <c r="J31"/>
  <c r="L5" l="1"/>
  <c r="K5"/>
  <c r="K18"/>
  <c r="L18" s="1"/>
  <c r="K31"/>
  <c r="L31" s="1"/>
  <c r="J2" i="2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"/>
  <c r="C32" i="1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  <c r="C1"/>
  <c r="E3" s="1"/>
  <c r="E32" l="1"/>
  <c r="E30"/>
  <c r="E28"/>
  <c r="E26"/>
  <c r="E24"/>
  <c r="E22"/>
  <c r="E20"/>
  <c r="E18"/>
  <c r="E16"/>
  <c r="E14"/>
  <c r="E12"/>
  <c r="E10"/>
  <c r="E8"/>
  <c r="E6"/>
  <c r="E4"/>
  <c r="E2"/>
  <c r="E1"/>
  <c r="E31"/>
  <c r="E29"/>
  <c r="E27"/>
  <c r="E25"/>
  <c r="E23"/>
  <c r="E21"/>
  <c r="E19"/>
  <c r="E17"/>
  <c r="E15"/>
  <c r="E13"/>
  <c r="E11"/>
  <c r="E9"/>
  <c r="E7"/>
  <c r="E5"/>
</calcChain>
</file>

<file path=xl/sharedStrings.xml><?xml version="1.0" encoding="utf-8"?>
<sst xmlns="http://schemas.openxmlformats.org/spreadsheetml/2006/main" count="78" uniqueCount="19">
  <si>
    <t>a</t>
  </si>
  <si>
    <t>d</t>
  </si>
  <si>
    <t>alpha</t>
  </si>
  <si>
    <t>beta</t>
  </si>
  <si>
    <t>a[1]</t>
  </si>
  <si>
    <t>a[2]</t>
  </si>
  <si>
    <t>a[3]</t>
  </si>
  <si>
    <t>a[4]</t>
  </si>
  <si>
    <t>a[5]</t>
  </si>
  <si>
    <t>a[6]</t>
  </si>
  <si>
    <t>a[7]</t>
  </si>
  <si>
    <t>a[8]</t>
  </si>
  <si>
    <t>a[9]</t>
  </si>
  <si>
    <t>a[10]</t>
  </si>
  <si>
    <t>a[11]</t>
  </si>
  <si>
    <t>a[12]</t>
  </si>
  <si>
    <t>b</t>
  </si>
  <si>
    <t>s[1]</t>
  </si>
  <si>
    <t>s[2]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</si>
</sst>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4" sqref="O4"/>
    </sheetView>
  </sheetViews>
  <sheetFormatPr defaultRowHeight="15"/>
  <sheetData>
    <row r="1" spans="1:15">
      <c r="A1">
        <v>1</v>
      </c>
      <c r="C1">
        <f>A1*A1</f>
        <v>1</v>
      </c>
      <c r="E1">
        <f>SUM(C1:C$1)</f>
        <v>1</v>
      </c>
      <c r="K1">
        <f>A1/(A1+1)</f>
        <v>0.5</v>
      </c>
      <c r="M1">
        <f>SUM(K1:K$1)</f>
        <v>0.5</v>
      </c>
      <c r="O1">
        <v>1</v>
      </c>
    </row>
    <row r="2" spans="1:15">
      <c r="A2">
        <v>2</v>
      </c>
      <c r="C2">
        <f t="shared" ref="C2:C32" si="0">A2*A2</f>
        <v>4</v>
      </c>
      <c r="E2">
        <f>SUM(C$1:C2)</f>
        <v>5</v>
      </c>
      <c r="I2">
        <f>FACT(A2)*(1 + (-1)^A2)/(2*A2*(A2-1))</f>
        <v>1</v>
      </c>
      <c r="K2">
        <f t="shared" ref="K2:K32" si="1">A2/(A2+1)</f>
        <v>0.66666666666666663</v>
      </c>
      <c r="M2">
        <f>SUM(K$1:K2)</f>
        <v>1.1666666666666665</v>
      </c>
      <c r="O2">
        <v>-1</v>
      </c>
    </row>
    <row r="3" spans="1:15">
      <c r="A3">
        <v>3</v>
      </c>
      <c r="C3">
        <f t="shared" si="0"/>
        <v>9</v>
      </c>
      <c r="E3">
        <f>SUM(C$1:C3)</f>
        <v>14</v>
      </c>
      <c r="G3">
        <f>A3*(A3-3)/2</f>
        <v>0</v>
      </c>
      <c r="I3">
        <f t="shared" ref="I3:I32" si="2">FACT(A3)*(1 + (-1)^A3)/(2*A3*(A3-1))</f>
        <v>0</v>
      </c>
      <c r="K3">
        <f t="shared" si="1"/>
        <v>0.75</v>
      </c>
      <c r="M3">
        <f>SUM(K$1:K3)</f>
        <v>1.9166666666666665</v>
      </c>
      <c r="O3">
        <v>0</v>
      </c>
    </row>
    <row r="4" spans="1:15">
      <c r="A4">
        <v>4</v>
      </c>
      <c r="C4">
        <f t="shared" si="0"/>
        <v>16</v>
      </c>
      <c r="E4">
        <f>SUM(C$1:C4)</f>
        <v>30</v>
      </c>
      <c r="G4">
        <f t="shared" ref="G4:G32" si="3">A4*(A4-3)/2</f>
        <v>2</v>
      </c>
      <c r="I4">
        <f t="shared" si="2"/>
        <v>2</v>
      </c>
      <c r="K4">
        <f t="shared" si="1"/>
        <v>0.8</v>
      </c>
      <c r="M4">
        <f>SUM(K$1:K4)</f>
        <v>2.7166666666666668</v>
      </c>
      <c r="O4">
        <v>1</v>
      </c>
    </row>
    <row r="5" spans="1:15">
      <c r="A5">
        <v>5</v>
      </c>
      <c r="C5">
        <f t="shared" si="0"/>
        <v>25</v>
      </c>
      <c r="E5">
        <f>SUM(C$1:C5)</f>
        <v>55</v>
      </c>
      <c r="G5">
        <f t="shared" si="3"/>
        <v>5</v>
      </c>
      <c r="I5">
        <f t="shared" si="2"/>
        <v>0</v>
      </c>
      <c r="K5">
        <f t="shared" si="1"/>
        <v>0.83333333333333337</v>
      </c>
      <c r="M5">
        <f>SUM(K$1:K5)</f>
        <v>3.5500000000000003</v>
      </c>
      <c r="O5">
        <v>-3</v>
      </c>
    </row>
    <row r="6" spans="1:15">
      <c r="A6">
        <v>6</v>
      </c>
      <c r="C6">
        <f t="shared" si="0"/>
        <v>36</v>
      </c>
      <c r="E6">
        <f>SUM(C$1:C6)</f>
        <v>91</v>
      </c>
      <c r="G6">
        <f t="shared" si="3"/>
        <v>9</v>
      </c>
      <c r="I6">
        <f t="shared" si="2"/>
        <v>24</v>
      </c>
      <c r="K6">
        <f t="shared" si="1"/>
        <v>0.8571428571428571</v>
      </c>
      <c r="M6">
        <f>SUM(K$1:K6)</f>
        <v>4.4071428571428575</v>
      </c>
      <c r="O6">
        <v>-2</v>
      </c>
    </row>
    <row r="7" spans="1:15">
      <c r="A7">
        <v>7</v>
      </c>
      <c r="C7">
        <f t="shared" si="0"/>
        <v>49</v>
      </c>
      <c r="E7">
        <f>SUM(C$1:C7)</f>
        <v>140</v>
      </c>
      <c r="G7">
        <f t="shared" si="3"/>
        <v>14</v>
      </c>
      <c r="I7">
        <f t="shared" si="2"/>
        <v>0</v>
      </c>
      <c r="K7">
        <f t="shared" si="1"/>
        <v>0.875</v>
      </c>
      <c r="M7">
        <f>SUM(K$1:K7)</f>
        <v>5.2821428571428575</v>
      </c>
      <c r="O7">
        <v>-1</v>
      </c>
    </row>
    <row r="8" spans="1:15">
      <c r="A8">
        <v>8</v>
      </c>
      <c r="C8">
        <f t="shared" si="0"/>
        <v>64</v>
      </c>
      <c r="E8">
        <f>SUM(C$1:C8)</f>
        <v>204</v>
      </c>
      <c r="G8">
        <f t="shared" si="3"/>
        <v>20</v>
      </c>
      <c r="I8">
        <f t="shared" si="2"/>
        <v>720</v>
      </c>
      <c r="K8">
        <f t="shared" si="1"/>
        <v>0.88888888888888884</v>
      </c>
      <c r="M8">
        <f>SUM(K$1:K8)</f>
        <v>6.1710317460317459</v>
      </c>
      <c r="O8">
        <v>0</v>
      </c>
    </row>
    <row r="9" spans="1:15">
      <c r="A9">
        <v>9</v>
      </c>
      <c r="C9">
        <f t="shared" si="0"/>
        <v>81</v>
      </c>
      <c r="E9">
        <f>SUM(C$1:C9)</f>
        <v>285</v>
      </c>
      <c r="G9">
        <f t="shared" si="3"/>
        <v>27</v>
      </c>
      <c r="I9">
        <f t="shared" si="2"/>
        <v>0</v>
      </c>
      <c r="K9">
        <f t="shared" si="1"/>
        <v>0.9</v>
      </c>
      <c r="M9">
        <f>SUM(K$1:K9)</f>
        <v>7.0710317460317462</v>
      </c>
      <c r="O9">
        <v>1</v>
      </c>
    </row>
    <row r="10" spans="1:15">
      <c r="A10">
        <v>10</v>
      </c>
      <c r="C10">
        <f t="shared" si="0"/>
        <v>100</v>
      </c>
      <c r="E10">
        <f>SUM(C$1:C10)</f>
        <v>385</v>
      </c>
      <c r="G10">
        <f t="shared" si="3"/>
        <v>35</v>
      </c>
      <c r="I10">
        <f t="shared" si="2"/>
        <v>40320</v>
      </c>
      <c r="K10">
        <f t="shared" si="1"/>
        <v>0.90909090909090906</v>
      </c>
      <c r="M10">
        <f>SUM(K$1:K10)</f>
        <v>7.9801226551226554</v>
      </c>
      <c r="O10">
        <v>-5</v>
      </c>
    </row>
    <row r="11" spans="1:15">
      <c r="A11">
        <v>11</v>
      </c>
      <c r="C11">
        <f t="shared" si="0"/>
        <v>121</v>
      </c>
      <c r="E11">
        <f>SUM(C$1:C11)</f>
        <v>506</v>
      </c>
      <c r="G11">
        <f t="shared" si="3"/>
        <v>44</v>
      </c>
      <c r="I11">
        <f t="shared" si="2"/>
        <v>0</v>
      </c>
      <c r="K11">
        <f t="shared" si="1"/>
        <v>0.91666666666666663</v>
      </c>
      <c r="M11">
        <f>SUM(K$1:K11)</f>
        <v>8.8967893217893224</v>
      </c>
      <c r="O11">
        <v>-4</v>
      </c>
    </row>
    <row r="12" spans="1:15">
      <c r="A12">
        <v>12</v>
      </c>
      <c r="C12">
        <f t="shared" si="0"/>
        <v>144</v>
      </c>
      <c r="E12">
        <f>SUM(C$1:C12)</f>
        <v>650</v>
      </c>
      <c r="G12">
        <f t="shared" si="3"/>
        <v>54</v>
      </c>
      <c r="I12">
        <f t="shared" si="2"/>
        <v>3628800</v>
      </c>
      <c r="K12">
        <f t="shared" si="1"/>
        <v>0.92307692307692313</v>
      </c>
      <c r="M12">
        <f>SUM(K$1:K12)</f>
        <v>9.8198662448662457</v>
      </c>
      <c r="O12">
        <v>-3</v>
      </c>
    </row>
    <row r="13" spans="1:15">
      <c r="A13">
        <v>13</v>
      </c>
      <c r="C13">
        <f t="shared" si="0"/>
        <v>169</v>
      </c>
      <c r="E13">
        <f>SUM(C$1:C13)</f>
        <v>819</v>
      </c>
      <c r="G13">
        <f t="shared" si="3"/>
        <v>65</v>
      </c>
      <c r="I13">
        <f t="shared" si="2"/>
        <v>0</v>
      </c>
      <c r="K13">
        <f t="shared" si="1"/>
        <v>0.9285714285714286</v>
      </c>
      <c r="M13">
        <f>SUM(K$1:K13)</f>
        <v>10.748437673437675</v>
      </c>
      <c r="O13">
        <v>-2</v>
      </c>
    </row>
    <row r="14" spans="1:15">
      <c r="A14">
        <v>14</v>
      </c>
      <c r="C14">
        <f t="shared" si="0"/>
        <v>196</v>
      </c>
      <c r="E14">
        <f>SUM(C$1:C14)</f>
        <v>1015</v>
      </c>
      <c r="G14">
        <f t="shared" si="3"/>
        <v>77</v>
      </c>
      <c r="I14">
        <f t="shared" si="2"/>
        <v>479001600</v>
      </c>
      <c r="K14">
        <f t="shared" si="1"/>
        <v>0.93333333333333335</v>
      </c>
      <c r="M14">
        <f>SUM(K$1:K14)</f>
        <v>11.681771006771008</v>
      </c>
      <c r="O14">
        <v>-1</v>
      </c>
    </row>
    <row r="15" spans="1:15">
      <c r="A15">
        <v>15</v>
      </c>
      <c r="C15">
        <f t="shared" si="0"/>
        <v>225</v>
      </c>
      <c r="E15">
        <f>SUM(C$1:C15)</f>
        <v>1240</v>
      </c>
      <c r="G15">
        <f t="shared" si="3"/>
        <v>90</v>
      </c>
      <c r="I15">
        <f t="shared" si="2"/>
        <v>0</v>
      </c>
      <c r="K15">
        <f t="shared" si="1"/>
        <v>0.9375</v>
      </c>
      <c r="M15">
        <f>SUM(K$1:K15)</f>
        <v>12.619271006771008</v>
      </c>
      <c r="O15">
        <v>0</v>
      </c>
    </row>
    <row r="16" spans="1:15">
      <c r="A16">
        <v>16</v>
      </c>
      <c r="C16">
        <f t="shared" si="0"/>
        <v>256</v>
      </c>
      <c r="E16">
        <f>SUM(C$1:C16)</f>
        <v>1496</v>
      </c>
      <c r="G16">
        <f t="shared" si="3"/>
        <v>104</v>
      </c>
      <c r="I16">
        <f t="shared" si="2"/>
        <v>87178291200</v>
      </c>
      <c r="K16">
        <f t="shared" si="1"/>
        <v>0.94117647058823528</v>
      </c>
      <c r="M16">
        <f>SUM(K$1:K16)</f>
        <v>13.560447477359244</v>
      </c>
      <c r="O16">
        <v>1</v>
      </c>
    </row>
    <row r="17" spans="1:13">
      <c r="A17">
        <v>17</v>
      </c>
      <c r="C17">
        <f t="shared" si="0"/>
        <v>289</v>
      </c>
      <c r="E17">
        <f>SUM(C$1:C17)</f>
        <v>1785</v>
      </c>
      <c r="G17">
        <f t="shared" si="3"/>
        <v>119</v>
      </c>
      <c r="I17">
        <f t="shared" si="2"/>
        <v>0</v>
      </c>
      <c r="K17">
        <f t="shared" si="1"/>
        <v>0.94444444444444442</v>
      </c>
      <c r="M17">
        <f>SUM(K$1:K17)</f>
        <v>14.504891921803688</v>
      </c>
    </row>
    <row r="18" spans="1:13">
      <c r="A18">
        <v>18</v>
      </c>
      <c r="C18">
        <f t="shared" si="0"/>
        <v>324</v>
      </c>
      <c r="E18">
        <f>SUM(C$1:C18)</f>
        <v>2109</v>
      </c>
      <c r="G18">
        <f t="shared" si="3"/>
        <v>135</v>
      </c>
      <c r="I18">
        <f t="shared" si="2"/>
        <v>20922789888000</v>
      </c>
      <c r="K18">
        <f t="shared" si="1"/>
        <v>0.94736842105263153</v>
      </c>
      <c r="M18">
        <f>SUM(K$1:K18)</f>
        <v>15.45226034285632</v>
      </c>
    </row>
    <row r="19" spans="1:13">
      <c r="A19">
        <v>19</v>
      </c>
      <c r="C19">
        <f t="shared" si="0"/>
        <v>361</v>
      </c>
      <c r="E19">
        <f>SUM(C$1:C19)</f>
        <v>2470</v>
      </c>
      <c r="G19">
        <f t="shared" si="3"/>
        <v>152</v>
      </c>
      <c r="I19">
        <f t="shared" si="2"/>
        <v>0</v>
      </c>
      <c r="K19">
        <f t="shared" si="1"/>
        <v>0.95</v>
      </c>
      <c r="M19">
        <f>SUM(K$1:K19)</f>
        <v>16.402260342856319</v>
      </c>
    </row>
    <row r="20" spans="1:13">
      <c r="A20">
        <v>20</v>
      </c>
      <c r="C20">
        <f t="shared" si="0"/>
        <v>400</v>
      </c>
      <c r="E20">
        <f>SUM(C$1:C20)</f>
        <v>2870</v>
      </c>
      <c r="G20">
        <f t="shared" si="3"/>
        <v>170</v>
      </c>
      <c r="I20">
        <f t="shared" si="2"/>
        <v>6402373705728000</v>
      </c>
      <c r="K20">
        <f t="shared" si="1"/>
        <v>0.95238095238095233</v>
      </c>
      <c r="M20">
        <f>SUM(K$1:K20)</f>
        <v>17.354641295237272</v>
      </c>
    </row>
    <row r="21" spans="1:13">
      <c r="A21">
        <v>21</v>
      </c>
      <c r="C21">
        <f t="shared" si="0"/>
        <v>441</v>
      </c>
      <c r="E21">
        <f>SUM(C$1:C21)</f>
        <v>3311</v>
      </c>
      <c r="G21">
        <f t="shared" si="3"/>
        <v>189</v>
      </c>
      <c r="I21">
        <f t="shared" si="2"/>
        <v>0</v>
      </c>
      <c r="K21">
        <f t="shared" si="1"/>
        <v>0.95454545454545459</v>
      </c>
      <c r="M21">
        <f>SUM(K$1:K21)</f>
        <v>18.309186749782725</v>
      </c>
    </row>
    <row r="22" spans="1:13">
      <c r="A22">
        <v>22</v>
      </c>
      <c r="C22">
        <f t="shared" si="0"/>
        <v>484</v>
      </c>
      <c r="E22">
        <f>SUM(C$1:C22)</f>
        <v>3795</v>
      </c>
      <c r="G22">
        <f t="shared" si="3"/>
        <v>209</v>
      </c>
      <c r="I22">
        <f t="shared" si="2"/>
        <v>2.43290200817664E+18</v>
      </c>
      <c r="K22">
        <f t="shared" si="1"/>
        <v>0.95652173913043481</v>
      </c>
      <c r="M22">
        <f>SUM(K$1:K22)</f>
        <v>19.265708488913159</v>
      </c>
    </row>
    <row r="23" spans="1:13">
      <c r="A23">
        <v>23</v>
      </c>
      <c r="C23">
        <f t="shared" si="0"/>
        <v>529</v>
      </c>
      <c r="E23">
        <f>SUM(C$1:C23)</f>
        <v>4324</v>
      </c>
      <c r="G23">
        <f t="shared" si="3"/>
        <v>230</v>
      </c>
      <c r="I23">
        <f t="shared" si="2"/>
        <v>0</v>
      </c>
      <c r="K23">
        <f t="shared" si="1"/>
        <v>0.95833333333333337</v>
      </c>
      <c r="M23">
        <f>SUM(K$1:K23)</f>
        <v>20.224041822246491</v>
      </c>
    </row>
    <row r="24" spans="1:13">
      <c r="A24">
        <v>24</v>
      </c>
      <c r="C24">
        <f t="shared" si="0"/>
        <v>576</v>
      </c>
      <c r="E24">
        <f>SUM(C$1:C24)</f>
        <v>4900</v>
      </c>
      <c r="G24">
        <f t="shared" si="3"/>
        <v>252</v>
      </c>
      <c r="I24">
        <f t="shared" si="2"/>
        <v>1.1240007277776077E+21</v>
      </c>
      <c r="K24">
        <f t="shared" si="1"/>
        <v>0.96</v>
      </c>
      <c r="M24">
        <f>SUM(K$1:K24)</f>
        <v>21.184041822246492</v>
      </c>
    </row>
    <row r="25" spans="1:13">
      <c r="A25">
        <v>25</v>
      </c>
      <c r="C25">
        <f t="shared" si="0"/>
        <v>625</v>
      </c>
      <c r="E25">
        <f>SUM(C$1:C25)</f>
        <v>5525</v>
      </c>
      <c r="G25">
        <f t="shared" si="3"/>
        <v>275</v>
      </c>
      <c r="I25">
        <f t="shared" si="2"/>
        <v>0</v>
      </c>
      <c r="K25">
        <f t="shared" si="1"/>
        <v>0.96153846153846156</v>
      </c>
      <c r="M25">
        <f>SUM(K$1:K25)</f>
        <v>22.145580283784952</v>
      </c>
    </row>
    <row r="26" spans="1:13">
      <c r="A26">
        <v>26</v>
      </c>
      <c r="C26">
        <f t="shared" si="0"/>
        <v>676</v>
      </c>
      <c r="E26">
        <f>SUM(C$1:C26)</f>
        <v>6201</v>
      </c>
      <c r="G26">
        <f t="shared" si="3"/>
        <v>299</v>
      </c>
      <c r="I26">
        <f t="shared" si="2"/>
        <v>6.2044840173323954E+23</v>
      </c>
      <c r="K26">
        <f t="shared" si="1"/>
        <v>0.96296296296296291</v>
      </c>
      <c r="M26">
        <f>SUM(K$1:K26)</f>
        <v>23.108543246747914</v>
      </c>
    </row>
    <row r="27" spans="1:13">
      <c r="A27">
        <v>27</v>
      </c>
      <c r="C27">
        <f t="shared" si="0"/>
        <v>729</v>
      </c>
      <c r="E27">
        <f>SUM(C$1:C27)</f>
        <v>6930</v>
      </c>
      <c r="G27">
        <f t="shared" si="3"/>
        <v>324</v>
      </c>
      <c r="I27">
        <f t="shared" si="2"/>
        <v>0</v>
      </c>
      <c r="K27">
        <f t="shared" si="1"/>
        <v>0.9642857142857143</v>
      </c>
      <c r="M27">
        <f>SUM(K$1:K27)</f>
        <v>24.072828961033629</v>
      </c>
    </row>
    <row r="28" spans="1:13">
      <c r="A28">
        <v>28</v>
      </c>
      <c r="C28">
        <f t="shared" si="0"/>
        <v>784</v>
      </c>
      <c r="E28">
        <f>SUM(C$1:C28)</f>
        <v>7714</v>
      </c>
      <c r="G28">
        <f t="shared" si="3"/>
        <v>350</v>
      </c>
      <c r="I28">
        <f t="shared" si="2"/>
        <v>4.0329146112660558E+26</v>
      </c>
      <c r="K28">
        <f t="shared" si="1"/>
        <v>0.96551724137931039</v>
      </c>
      <c r="M28">
        <f>SUM(K$1:K28)</f>
        <v>25.038346202412939</v>
      </c>
    </row>
    <row r="29" spans="1:13">
      <c r="A29">
        <v>29</v>
      </c>
      <c r="C29">
        <f t="shared" si="0"/>
        <v>841</v>
      </c>
      <c r="E29">
        <f>SUM(C$1:C29)</f>
        <v>8555</v>
      </c>
      <c r="G29">
        <f t="shared" si="3"/>
        <v>377</v>
      </c>
      <c r="I29">
        <f t="shared" si="2"/>
        <v>0</v>
      </c>
      <c r="K29">
        <f t="shared" si="1"/>
        <v>0.96666666666666667</v>
      </c>
      <c r="M29">
        <f>SUM(K$1:K29)</f>
        <v>26.005012869079604</v>
      </c>
    </row>
    <row r="30" spans="1:13">
      <c r="A30">
        <v>30</v>
      </c>
      <c r="C30">
        <f t="shared" si="0"/>
        <v>900</v>
      </c>
      <c r="E30">
        <f>SUM(C$1:C30)</f>
        <v>9455</v>
      </c>
      <c r="G30">
        <f t="shared" si="3"/>
        <v>405</v>
      </c>
      <c r="I30">
        <f t="shared" si="2"/>
        <v>3.0488834461171391E+29</v>
      </c>
      <c r="K30">
        <f t="shared" si="1"/>
        <v>0.967741935483871</v>
      </c>
      <c r="M30">
        <f>SUM(K$1:K30)</f>
        <v>26.972754804563476</v>
      </c>
    </row>
    <row r="31" spans="1:13">
      <c r="A31">
        <v>31</v>
      </c>
      <c r="C31">
        <f t="shared" si="0"/>
        <v>961</v>
      </c>
      <c r="E31">
        <f>SUM(C$1:C31)</f>
        <v>10416</v>
      </c>
      <c r="G31">
        <f t="shared" si="3"/>
        <v>434</v>
      </c>
      <c r="I31">
        <f t="shared" si="2"/>
        <v>0</v>
      </c>
      <c r="K31">
        <f t="shared" si="1"/>
        <v>0.96875</v>
      </c>
      <c r="M31">
        <f>SUM(K$1:K31)</f>
        <v>27.941504804563476</v>
      </c>
    </row>
    <row r="32" spans="1:13">
      <c r="A32">
        <v>32</v>
      </c>
      <c r="C32">
        <f t="shared" si="0"/>
        <v>1024</v>
      </c>
      <c r="E32">
        <f>SUM(C$1:C32)</f>
        <v>11440</v>
      </c>
      <c r="G32">
        <f t="shared" si="3"/>
        <v>464</v>
      </c>
      <c r="I32">
        <f t="shared" si="2"/>
        <v>2.6525285981219107E+32</v>
      </c>
      <c r="K32">
        <f t="shared" si="1"/>
        <v>0.96969696969696972</v>
      </c>
      <c r="M32">
        <f>SUM(K$1:K32)</f>
        <v>28.911201774260444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>
      <selection activeCell="J2" sqref="J2"/>
    </sheetView>
  </sheetViews>
  <sheetFormatPr defaultRowHeight="15"/>
  <sheetData>
    <row r="1" spans="1:10">
      <c r="C1" t="s">
        <v>0</v>
      </c>
      <c r="D1" t="s">
        <v>1</v>
      </c>
      <c r="F1" t="s">
        <v>0</v>
      </c>
      <c r="G1" t="s">
        <v>1</v>
      </c>
      <c r="I1" t="s">
        <v>0</v>
      </c>
      <c r="J1" t="s">
        <v>1</v>
      </c>
    </row>
    <row r="2" spans="1:10">
      <c r="C2">
        <v>-22</v>
      </c>
      <c r="D2">
        <v>13</v>
      </c>
      <c r="F2">
        <v>56</v>
      </c>
      <c r="G2">
        <v>-9</v>
      </c>
      <c r="I2">
        <v>256</v>
      </c>
      <c r="J2">
        <f>-3/2</f>
        <v>-1.5</v>
      </c>
    </row>
    <row r="3" spans="1:10">
      <c r="A3">
        <v>1</v>
      </c>
      <c r="C3">
        <f>C$2+D$2*($A3-1)</f>
        <v>-22</v>
      </c>
      <c r="F3">
        <f>F$2+G$2*($A3-1)</f>
        <v>56</v>
      </c>
      <c r="I3">
        <f>I$2*J$2^($A3-1)</f>
        <v>256</v>
      </c>
    </row>
    <row r="4" spans="1:10">
      <c r="A4">
        <v>2</v>
      </c>
      <c r="C4">
        <f t="shared" ref="C4:C34" si="0">C$2+D$2*($A4-1)</f>
        <v>-9</v>
      </c>
      <c r="F4">
        <f t="shared" ref="F4:F34" si="1">F$2+G$2*($A4-1)</f>
        <v>47</v>
      </c>
      <c r="I4">
        <f t="shared" ref="I4:I34" si="2">I$2*J$2^($A4-1)</f>
        <v>-384</v>
      </c>
    </row>
    <row r="5" spans="1:10">
      <c r="A5">
        <v>3</v>
      </c>
      <c r="C5">
        <f t="shared" si="0"/>
        <v>4</v>
      </c>
      <c r="F5">
        <f t="shared" si="1"/>
        <v>38</v>
      </c>
      <c r="I5">
        <f t="shared" si="2"/>
        <v>576</v>
      </c>
    </row>
    <row r="6" spans="1:10">
      <c r="A6">
        <v>4</v>
      </c>
      <c r="C6">
        <f t="shared" si="0"/>
        <v>17</v>
      </c>
      <c r="F6">
        <f t="shared" si="1"/>
        <v>29</v>
      </c>
      <c r="I6">
        <f t="shared" si="2"/>
        <v>-864</v>
      </c>
    </row>
    <row r="7" spans="1:10">
      <c r="A7">
        <v>5</v>
      </c>
      <c r="C7">
        <f t="shared" si="0"/>
        <v>30</v>
      </c>
      <c r="F7">
        <f t="shared" si="1"/>
        <v>20</v>
      </c>
      <c r="I7">
        <f t="shared" si="2"/>
        <v>1296</v>
      </c>
    </row>
    <row r="8" spans="1:10">
      <c r="A8">
        <v>6</v>
      </c>
      <c r="C8">
        <f t="shared" si="0"/>
        <v>43</v>
      </c>
      <c r="F8">
        <f t="shared" si="1"/>
        <v>11</v>
      </c>
      <c r="I8">
        <f t="shared" si="2"/>
        <v>-1944</v>
      </c>
    </row>
    <row r="9" spans="1:10">
      <c r="A9">
        <v>7</v>
      </c>
      <c r="C9">
        <f t="shared" si="0"/>
        <v>56</v>
      </c>
      <c r="F9">
        <f t="shared" si="1"/>
        <v>2</v>
      </c>
      <c r="I9">
        <f t="shared" si="2"/>
        <v>2916</v>
      </c>
    </row>
    <row r="10" spans="1:10">
      <c r="A10">
        <v>8</v>
      </c>
      <c r="C10">
        <f t="shared" si="0"/>
        <v>69</v>
      </c>
      <c r="F10">
        <f t="shared" si="1"/>
        <v>-7</v>
      </c>
      <c r="I10">
        <f t="shared" si="2"/>
        <v>-4374</v>
      </c>
    </row>
    <row r="11" spans="1:10">
      <c r="A11">
        <v>9</v>
      </c>
      <c r="C11">
        <f t="shared" si="0"/>
        <v>82</v>
      </c>
      <c r="F11">
        <f t="shared" si="1"/>
        <v>-16</v>
      </c>
      <c r="I11">
        <f t="shared" si="2"/>
        <v>6561</v>
      </c>
    </row>
    <row r="12" spans="1:10">
      <c r="A12">
        <v>10</v>
      </c>
      <c r="C12">
        <f t="shared" si="0"/>
        <v>95</v>
      </c>
      <c r="F12">
        <f t="shared" si="1"/>
        <v>-25</v>
      </c>
      <c r="I12">
        <f t="shared" si="2"/>
        <v>-9841.5</v>
      </c>
    </row>
    <row r="13" spans="1:10">
      <c r="A13">
        <v>11</v>
      </c>
      <c r="C13">
        <f t="shared" si="0"/>
        <v>108</v>
      </c>
      <c r="F13">
        <f t="shared" si="1"/>
        <v>-34</v>
      </c>
      <c r="I13">
        <f t="shared" si="2"/>
        <v>14762.25</v>
      </c>
    </row>
    <row r="14" spans="1:10">
      <c r="A14">
        <v>12</v>
      </c>
      <c r="C14">
        <f t="shared" si="0"/>
        <v>121</v>
      </c>
      <c r="F14">
        <f t="shared" si="1"/>
        <v>-43</v>
      </c>
      <c r="I14">
        <f t="shared" si="2"/>
        <v>-22143.375</v>
      </c>
    </row>
    <row r="15" spans="1:10">
      <c r="A15">
        <v>13</v>
      </c>
      <c r="C15">
        <f t="shared" si="0"/>
        <v>134</v>
      </c>
      <c r="F15">
        <f t="shared" si="1"/>
        <v>-52</v>
      </c>
      <c r="I15">
        <f t="shared" si="2"/>
        <v>33215.0625</v>
      </c>
    </row>
    <row r="16" spans="1:10">
      <c r="A16">
        <v>14</v>
      </c>
      <c r="C16">
        <f t="shared" si="0"/>
        <v>147</v>
      </c>
      <c r="F16">
        <f t="shared" si="1"/>
        <v>-61</v>
      </c>
      <c r="I16">
        <f t="shared" si="2"/>
        <v>-49822.59375</v>
      </c>
    </row>
    <row r="17" spans="1:9">
      <c r="A17">
        <v>15</v>
      </c>
      <c r="C17">
        <f t="shared" si="0"/>
        <v>160</v>
      </c>
      <c r="F17">
        <f t="shared" si="1"/>
        <v>-70</v>
      </c>
      <c r="I17">
        <f t="shared" si="2"/>
        <v>74733.890625</v>
      </c>
    </row>
    <row r="18" spans="1:9">
      <c r="A18">
        <v>16</v>
      </c>
      <c r="C18">
        <f t="shared" si="0"/>
        <v>173</v>
      </c>
      <c r="F18">
        <f t="shared" si="1"/>
        <v>-79</v>
      </c>
      <c r="I18">
        <f t="shared" si="2"/>
        <v>-112100.8359375</v>
      </c>
    </row>
    <row r="19" spans="1:9">
      <c r="A19">
        <v>17</v>
      </c>
      <c r="C19">
        <f t="shared" si="0"/>
        <v>186</v>
      </c>
      <c r="F19">
        <f t="shared" si="1"/>
        <v>-88</v>
      </c>
      <c r="I19">
        <f t="shared" si="2"/>
        <v>168151.25390625</v>
      </c>
    </row>
    <row r="20" spans="1:9">
      <c r="A20">
        <v>18</v>
      </c>
      <c r="C20">
        <f t="shared" si="0"/>
        <v>199</v>
      </c>
      <c r="F20">
        <f t="shared" si="1"/>
        <v>-97</v>
      </c>
      <c r="I20">
        <f t="shared" si="2"/>
        <v>-252226.880859375</v>
      </c>
    </row>
    <row r="21" spans="1:9">
      <c r="A21">
        <v>19</v>
      </c>
      <c r="C21">
        <f t="shared" si="0"/>
        <v>212</v>
      </c>
      <c r="F21">
        <f t="shared" si="1"/>
        <v>-106</v>
      </c>
      <c r="I21">
        <f t="shared" si="2"/>
        <v>378340.3212890625</v>
      </c>
    </row>
    <row r="22" spans="1:9">
      <c r="A22">
        <v>20</v>
      </c>
      <c r="C22">
        <f t="shared" si="0"/>
        <v>225</v>
      </c>
      <c r="F22">
        <f t="shared" si="1"/>
        <v>-115</v>
      </c>
      <c r="I22">
        <f t="shared" si="2"/>
        <v>-567510.48193359375</v>
      </c>
    </row>
    <row r="23" spans="1:9">
      <c r="A23">
        <v>21</v>
      </c>
      <c r="C23">
        <f t="shared" si="0"/>
        <v>238</v>
      </c>
      <c r="F23">
        <f t="shared" si="1"/>
        <v>-124</v>
      </c>
      <c r="I23">
        <f t="shared" si="2"/>
        <v>851265.72290039063</v>
      </c>
    </row>
    <row r="24" spans="1:9">
      <c r="A24">
        <v>22</v>
      </c>
      <c r="C24">
        <f t="shared" si="0"/>
        <v>251</v>
      </c>
      <c r="F24">
        <f t="shared" si="1"/>
        <v>-133</v>
      </c>
      <c r="I24">
        <f t="shared" si="2"/>
        <v>-1276898.5843505859</v>
      </c>
    </row>
    <row r="25" spans="1:9">
      <c r="A25">
        <v>23</v>
      </c>
      <c r="C25">
        <f t="shared" si="0"/>
        <v>264</v>
      </c>
      <c r="F25">
        <f t="shared" si="1"/>
        <v>-142</v>
      </c>
      <c r="I25">
        <f t="shared" si="2"/>
        <v>1915347.8765258789</v>
      </c>
    </row>
    <row r="26" spans="1:9">
      <c r="A26">
        <v>24</v>
      </c>
      <c r="C26">
        <f t="shared" si="0"/>
        <v>277</v>
      </c>
      <c r="F26">
        <f t="shared" si="1"/>
        <v>-151</v>
      </c>
      <c r="I26">
        <f t="shared" si="2"/>
        <v>-2873021.8147888184</v>
      </c>
    </row>
    <row r="27" spans="1:9">
      <c r="A27">
        <v>25</v>
      </c>
      <c r="C27">
        <f t="shared" si="0"/>
        <v>290</v>
      </c>
      <c r="F27">
        <f t="shared" si="1"/>
        <v>-160</v>
      </c>
      <c r="I27">
        <f t="shared" si="2"/>
        <v>4309532.7221832275</v>
      </c>
    </row>
    <row r="28" spans="1:9">
      <c r="A28">
        <v>26</v>
      </c>
      <c r="C28">
        <f t="shared" si="0"/>
        <v>303</v>
      </c>
      <c r="F28">
        <f t="shared" si="1"/>
        <v>-169</v>
      </c>
      <c r="I28">
        <f t="shared" si="2"/>
        <v>-6464299.0832748413</v>
      </c>
    </row>
    <row r="29" spans="1:9">
      <c r="A29">
        <v>27</v>
      </c>
      <c r="C29">
        <f t="shared" si="0"/>
        <v>316</v>
      </c>
      <c r="F29">
        <f t="shared" si="1"/>
        <v>-178</v>
      </c>
      <c r="I29">
        <f t="shared" si="2"/>
        <v>9696448.624912262</v>
      </c>
    </row>
    <row r="30" spans="1:9">
      <c r="A30">
        <v>28</v>
      </c>
      <c r="C30">
        <f t="shared" si="0"/>
        <v>329</v>
      </c>
      <c r="F30">
        <f t="shared" si="1"/>
        <v>-187</v>
      </c>
      <c r="I30">
        <f t="shared" si="2"/>
        <v>-14544672.937368393</v>
      </c>
    </row>
    <row r="31" spans="1:9">
      <c r="A31">
        <v>29</v>
      </c>
      <c r="C31">
        <f t="shared" si="0"/>
        <v>342</v>
      </c>
      <c r="F31">
        <f t="shared" si="1"/>
        <v>-196</v>
      </c>
      <c r="I31">
        <f t="shared" si="2"/>
        <v>21817009.406052589</v>
      </c>
    </row>
    <row r="32" spans="1:9">
      <c r="A32">
        <v>30</v>
      </c>
      <c r="C32">
        <f t="shared" si="0"/>
        <v>355</v>
      </c>
      <c r="F32">
        <f t="shared" si="1"/>
        <v>-205</v>
      </c>
      <c r="I32">
        <f t="shared" si="2"/>
        <v>-32725514.109078884</v>
      </c>
    </row>
    <row r="33" spans="1:9">
      <c r="A33">
        <v>31</v>
      </c>
      <c r="C33">
        <f t="shared" si="0"/>
        <v>368</v>
      </c>
      <c r="F33">
        <f t="shared" si="1"/>
        <v>-214</v>
      </c>
      <c r="I33">
        <f t="shared" si="2"/>
        <v>49088271.163618326</v>
      </c>
    </row>
    <row r="34" spans="1:9">
      <c r="A34">
        <v>32</v>
      </c>
      <c r="C34">
        <f t="shared" si="0"/>
        <v>381</v>
      </c>
      <c r="F34">
        <f t="shared" si="1"/>
        <v>-223</v>
      </c>
      <c r="I34">
        <f t="shared" si="2"/>
        <v>-73632406.745427489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2"/>
  <sheetViews>
    <sheetView workbookViewId="0">
      <selection activeCell="A47" sqref="A47"/>
    </sheetView>
  </sheetViews>
  <sheetFormatPr defaultRowHeight="15"/>
  <sheetData>
    <row r="1" spans="1:13">
      <c r="A1" t="s">
        <v>0</v>
      </c>
      <c r="B1" t="s">
        <v>16</v>
      </c>
    </row>
    <row r="2" spans="1:13">
      <c r="A2">
        <v>5</v>
      </c>
      <c r="B2">
        <v>-6</v>
      </c>
    </row>
    <row r="4" spans="1:1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13">
      <c r="A5">
        <v>4</v>
      </c>
      <c r="B5">
        <v>11</v>
      </c>
      <c r="C5">
        <f>$B2*A5+$A2*B5</f>
        <v>31</v>
      </c>
      <c r="D5">
        <f t="shared" ref="D5:L5" si="0">$B2*B5+$A2*C5</f>
        <v>89</v>
      </c>
      <c r="E5">
        <f t="shared" si="0"/>
        <v>259</v>
      </c>
      <c r="F5">
        <f t="shared" si="0"/>
        <v>761</v>
      </c>
      <c r="G5">
        <f t="shared" si="0"/>
        <v>2251</v>
      </c>
      <c r="H5">
        <f t="shared" si="0"/>
        <v>6689</v>
      </c>
      <c r="I5">
        <f t="shared" si="0"/>
        <v>19939</v>
      </c>
      <c r="J5">
        <f t="shared" si="0"/>
        <v>59561</v>
      </c>
      <c r="K5">
        <f t="shared" si="0"/>
        <v>178171</v>
      </c>
      <c r="L5">
        <f t="shared" si="0"/>
        <v>533489</v>
      </c>
    </row>
    <row r="7" spans="1:13">
      <c r="A7" t="s">
        <v>2</v>
      </c>
      <c r="B7" t="s">
        <v>17</v>
      </c>
      <c r="C7" t="s">
        <v>3</v>
      </c>
      <c r="D7" t="s">
        <v>18</v>
      </c>
    </row>
    <row r="8" spans="1:13">
      <c r="A8" s="1">
        <f>1/2</f>
        <v>0.5</v>
      </c>
      <c r="B8">
        <v>2</v>
      </c>
      <c r="C8">
        <v>1</v>
      </c>
      <c r="D8">
        <v>3</v>
      </c>
    </row>
    <row r="10" spans="1:13">
      <c r="A10">
        <v>1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I10">
        <v>9</v>
      </c>
      <c r="J10">
        <v>10</v>
      </c>
      <c r="K10">
        <v>11</v>
      </c>
      <c r="L10">
        <v>12</v>
      </c>
    </row>
    <row r="11" spans="1:13">
      <c r="A11">
        <f>$A8*$B8^A10+$C8*$D8^A10</f>
        <v>4</v>
      </c>
      <c r="B11">
        <f t="shared" ref="B11:L11" si="1">$A8*$B8^B10+$C8*$D8^B10</f>
        <v>11</v>
      </c>
      <c r="C11">
        <f t="shared" si="1"/>
        <v>31</v>
      </c>
      <c r="D11">
        <f t="shared" si="1"/>
        <v>89</v>
      </c>
      <c r="E11">
        <f t="shared" si="1"/>
        <v>259</v>
      </c>
      <c r="F11">
        <f t="shared" si="1"/>
        <v>761</v>
      </c>
      <c r="G11">
        <f t="shared" si="1"/>
        <v>2251</v>
      </c>
      <c r="H11">
        <f t="shared" si="1"/>
        <v>6689</v>
      </c>
      <c r="I11">
        <f t="shared" si="1"/>
        <v>19939</v>
      </c>
      <c r="J11">
        <f t="shared" si="1"/>
        <v>59561</v>
      </c>
      <c r="K11">
        <f t="shared" si="1"/>
        <v>178171</v>
      </c>
      <c r="L11">
        <f t="shared" si="1"/>
        <v>533489</v>
      </c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t="s">
        <v>0</v>
      </c>
      <c r="B14" t="s">
        <v>16</v>
      </c>
    </row>
    <row r="15" spans="1:13">
      <c r="A15">
        <v>2</v>
      </c>
      <c r="B15">
        <v>8</v>
      </c>
    </row>
    <row r="17" spans="1:13">
      <c r="A17" t="s">
        <v>4</v>
      </c>
      <c r="B17" t="s">
        <v>5</v>
      </c>
      <c r="C17" t="s">
        <v>6</v>
      </c>
      <c r="D17" t="s">
        <v>7</v>
      </c>
      <c r="E17" t="s">
        <v>8</v>
      </c>
      <c r="F17" t="s">
        <v>9</v>
      </c>
      <c r="G17" t="s">
        <v>10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</row>
    <row r="18" spans="1:13">
      <c r="A18">
        <v>-12</v>
      </c>
      <c r="B18">
        <v>12</v>
      </c>
      <c r="C18">
        <f>$B15*A18+$A15*B18</f>
        <v>-72</v>
      </c>
      <c r="D18">
        <f t="shared" ref="D18:L18" si="2">$B15*B18+$A15*C18</f>
        <v>-48</v>
      </c>
      <c r="E18">
        <f t="shared" si="2"/>
        <v>-672</v>
      </c>
      <c r="F18">
        <f t="shared" si="2"/>
        <v>-1728</v>
      </c>
      <c r="G18">
        <f t="shared" si="2"/>
        <v>-8832</v>
      </c>
      <c r="H18">
        <f t="shared" si="2"/>
        <v>-31488</v>
      </c>
      <c r="I18">
        <f t="shared" si="2"/>
        <v>-133632</v>
      </c>
      <c r="J18">
        <f t="shared" si="2"/>
        <v>-519168</v>
      </c>
      <c r="K18">
        <f t="shared" si="2"/>
        <v>-2107392</v>
      </c>
      <c r="L18">
        <f t="shared" si="2"/>
        <v>-8368128</v>
      </c>
    </row>
    <row r="20" spans="1:13">
      <c r="A20" t="s">
        <v>2</v>
      </c>
      <c r="B20" t="s">
        <v>17</v>
      </c>
      <c r="C20" t="s">
        <v>3</v>
      </c>
      <c r="D20" t="s">
        <v>18</v>
      </c>
    </row>
    <row r="21" spans="1:13">
      <c r="A21" s="1">
        <v>5</v>
      </c>
      <c r="B21">
        <v>-2</v>
      </c>
      <c r="C21">
        <f>-1/2</f>
        <v>-0.5</v>
      </c>
      <c r="D21">
        <v>4</v>
      </c>
    </row>
    <row r="23" spans="1:13">
      <c r="A23">
        <v>1</v>
      </c>
      <c r="B23">
        <v>2</v>
      </c>
      <c r="C23">
        <v>3</v>
      </c>
      <c r="D23">
        <v>4</v>
      </c>
      <c r="E23">
        <v>5</v>
      </c>
      <c r="F23">
        <v>6</v>
      </c>
      <c r="G23">
        <v>7</v>
      </c>
      <c r="H23">
        <v>8</v>
      </c>
      <c r="I23">
        <v>9</v>
      </c>
      <c r="J23">
        <v>10</v>
      </c>
      <c r="K23">
        <v>11</v>
      </c>
      <c r="L23">
        <v>12</v>
      </c>
    </row>
    <row r="24" spans="1:13">
      <c r="A24">
        <f t="shared" ref="A24:L24" si="3">$A21*$B21^A23+$C21*$D21^A23</f>
        <v>-12</v>
      </c>
      <c r="B24">
        <f t="shared" si="3"/>
        <v>12</v>
      </c>
      <c r="C24">
        <f t="shared" si="3"/>
        <v>-72</v>
      </c>
      <c r="D24">
        <f t="shared" si="3"/>
        <v>-48</v>
      </c>
      <c r="E24">
        <f t="shared" si="3"/>
        <v>-672</v>
      </c>
      <c r="F24">
        <f t="shared" si="3"/>
        <v>-1728</v>
      </c>
      <c r="G24">
        <f t="shared" si="3"/>
        <v>-8832</v>
      </c>
      <c r="H24">
        <f t="shared" si="3"/>
        <v>-31488</v>
      </c>
      <c r="I24">
        <f t="shared" si="3"/>
        <v>-133632</v>
      </c>
      <c r="J24">
        <f t="shared" si="3"/>
        <v>-519168</v>
      </c>
      <c r="K24">
        <f t="shared" si="3"/>
        <v>-2107392</v>
      </c>
      <c r="L24">
        <f t="shared" si="3"/>
        <v>-8368128</v>
      </c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t="s">
        <v>0</v>
      </c>
      <c r="B27" t="s">
        <v>16</v>
      </c>
    </row>
    <row r="28" spans="1:13">
      <c r="A28">
        <v>-3</v>
      </c>
      <c r="B28">
        <v>5</v>
      </c>
    </row>
    <row r="30" spans="1:13">
      <c r="A30" t="s">
        <v>4</v>
      </c>
      <c r="B30" t="s">
        <v>5</v>
      </c>
      <c r="C30" t="s">
        <v>6</v>
      </c>
      <c r="D30" t="s">
        <v>7</v>
      </c>
      <c r="E30" t="s">
        <v>8</v>
      </c>
      <c r="F30" t="s">
        <v>9</v>
      </c>
      <c r="G30" t="s">
        <v>10</v>
      </c>
      <c r="H30" t="s">
        <v>11</v>
      </c>
      <c r="I30" t="s">
        <v>12</v>
      </c>
      <c r="J30" t="s">
        <v>13</v>
      </c>
      <c r="K30" t="s">
        <v>14</v>
      </c>
      <c r="L30" t="s">
        <v>15</v>
      </c>
    </row>
    <row r="31" spans="1:13">
      <c r="A31">
        <v>1</v>
      </c>
      <c r="B31">
        <v>1</v>
      </c>
      <c r="C31">
        <f>$B28*A31+$A28*B31</f>
        <v>2</v>
      </c>
      <c r="D31">
        <f t="shared" ref="D31:L31" si="4">$B28*B31+$A28*C31</f>
        <v>-1</v>
      </c>
      <c r="E31">
        <f t="shared" si="4"/>
        <v>13</v>
      </c>
      <c r="F31">
        <f t="shared" si="4"/>
        <v>-44</v>
      </c>
      <c r="G31">
        <f t="shared" si="4"/>
        <v>197</v>
      </c>
      <c r="H31">
        <f t="shared" si="4"/>
        <v>-811</v>
      </c>
      <c r="I31">
        <f t="shared" si="4"/>
        <v>3418</v>
      </c>
      <c r="J31">
        <f t="shared" si="4"/>
        <v>-14309</v>
      </c>
      <c r="K31">
        <f t="shared" si="4"/>
        <v>60017</v>
      </c>
      <c r="L31">
        <f t="shared" si="4"/>
        <v>-251596</v>
      </c>
    </row>
    <row r="33" spans="1:13">
      <c r="A33" t="s">
        <v>2</v>
      </c>
      <c r="B33" t="s">
        <v>17</v>
      </c>
      <c r="C33" t="s">
        <v>3</v>
      </c>
      <c r="D33" t="s">
        <v>18</v>
      </c>
    </row>
    <row r="34" spans="1:13">
      <c r="A34" s="1">
        <v>5</v>
      </c>
      <c r="B34">
        <v>-2</v>
      </c>
      <c r="C34">
        <f>-1/2</f>
        <v>-0.5</v>
      </c>
      <c r="D34">
        <v>4</v>
      </c>
    </row>
    <row r="36" spans="1:13">
      <c r="A36">
        <v>1</v>
      </c>
      <c r="B36">
        <v>2</v>
      </c>
      <c r="C36">
        <v>3</v>
      </c>
      <c r="D36">
        <v>4</v>
      </c>
      <c r="E36">
        <v>5</v>
      </c>
      <c r="F36">
        <v>6</v>
      </c>
      <c r="G36">
        <v>7</v>
      </c>
      <c r="H36">
        <v>8</v>
      </c>
      <c r="I36">
        <v>9</v>
      </c>
      <c r="J36">
        <v>10</v>
      </c>
      <c r="K36">
        <v>11</v>
      </c>
      <c r="L36">
        <v>12</v>
      </c>
    </row>
    <row r="37" spans="1:13">
      <c r="A37">
        <f t="shared" ref="A37" si="5">$A34*$B34^A36+$C34*$D34^A36</f>
        <v>-12</v>
      </c>
      <c r="B37">
        <f t="shared" ref="B37" si="6">$A34*$B34^B36+$C34*$D34^B36</f>
        <v>12</v>
      </c>
      <c r="C37">
        <f t="shared" ref="C37" si="7">$A34*$B34^C36+$C34*$D34^C36</f>
        <v>-72</v>
      </c>
      <c r="D37">
        <f t="shared" ref="D37" si="8">$A34*$B34^D36+$C34*$D34^D36</f>
        <v>-48</v>
      </c>
      <c r="E37">
        <f t="shared" ref="E37" si="9">$A34*$B34^E36+$C34*$D34^E36</f>
        <v>-672</v>
      </c>
      <c r="F37">
        <f t="shared" ref="F37" si="10">$A34*$B34^F36+$C34*$D34^F36</f>
        <v>-1728</v>
      </c>
      <c r="G37">
        <f t="shared" ref="G37" si="11">$A34*$B34^G36+$C34*$D34^G36</f>
        <v>-8832</v>
      </c>
      <c r="H37">
        <f t="shared" ref="H37" si="12">$A34*$B34^H36+$C34*$D34^H36</f>
        <v>-31488</v>
      </c>
      <c r="I37">
        <f t="shared" ref="I37" si="13">$A34*$B34^I36+$C34*$D34^I36</f>
        <v>-133632</v>
      </c>
      <c r="J37">
        <f t="shared" ref="J37" si="14">$A34*$B34^J36+$C34*$D34^J36</f>
        <v>-519168</v>
      </c>
      <c r="K37">
        <f t="shared" ref="K37" si="15">$A34*$B34^K36+$C34*$D34^K36</f>
        <v>-2107392</v>
      </c>
      <c r="L37">
        <f t="shared" ref="L37" si="16">$A34*$B34^L36+$C34*$D34^L36</f>
        <v>-8368128</v>
      </c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t="s">
        <v>0</v>
      </c>
      <c r="B40" t="s">
        <v>16</v>
      </c>
    </row>
    <row r="41" spans="1:13">
      <c r="A41">
        <v>-4</v>
      </c>
      <c r="B41">
        <v>12</v>
      </c>
    </row>
    <row r="43" spans="1:13">
      <c r="A43" t="s">
        <v>4</v>
      </c>
      <c r="B43" t="s">
        <v>5</v>
      </c>
      <c r="C43" t="s">
        <v>6</v>
      </c>
      <c r="D43" t="s">
        <v>7</v>
      </c>
      <c r="E43" t="s">
        <v>8</v>
      </c>
      <c r="F43" t="s">
        <v>9</v>
      </c>
      <c r="G43" t="s">
        <v>10</v>
      </c>
      <c r="H43" t="s">
        <v>11</v>
      </c>
      <c r="I43" t="s">
        <v>12</v>
      </c>
      <c r="J43" t="s">
        <v>13</v>
      </c>
      <c r="K43" t="s">
        <v>14</v>
      </c>
      <c r="L43" t="s">
        <v>15</v>
      </c>
    </row>
    <row r="44" spans="1:13">
      <c r="A44">
        <v>2</v>
      </c>
      <c r="B44">
        <v>-4</v>
      </c>
      <c r="C44">
        <f>$B41*A44+$A41*B44</f>
        <v>40</v>
      </c>
      <c r="D44">
        <f t="shared" ref="D44" si="17">$B41*B44+$A41*C44</f>
        <v>-208</v>
      </c>
      <c r="E44">
        <f t="shared" ref="E44" si="18">$B41*C44+$A41*D44</f>
        <v>1312</v>
      </c>
      <c r="F44">
        <f t="shared" ref="F44" si="19">$B41*D44+$A41*E44</f>
        <v>-7744</v>
      </c>
      <c r="G44">
        <f t="shared" ref="G44" si="20">$B41*E44+$A41*F44</f>
        <v>46720</v>
      </c>
      <c r="H44">
        <f t="shared" ref="H44" si="21">$B41*F44+$A41*G44</f>
        <v>-279808</v>
      </c>
      <c r="I44">
        <f t="shared" ref="I44" si="22">$B41*G44+$A41*H44</f>
        <v>1679872</v>
      </c>
      <c r="J44">
        <f t="shared" ref="J44" si="23">$B41*H44+$A41*I44</f>
        <v>-10077184</v>
      </c>
      <c r="K44">
        <f t="shared" ref="K44" si="24">$B41*I44+$A41*J44</f>
        <v>60467200</v>
      </c>
      <c r="L44">
        <f t="shared" ref="L44" si="25">$B41*J44+$A41*K44</f>
        <v>-362795008</v>
      </c>
    </row>
    <row r="46" spans="1:13">
      <c r="A46" t="s">
        <v>2</v>
      </c>
      <c r="B46" t="s">
        <v>17</v>
      </c>
      <c r="C46" t="s">
        <v>3</v>
      </c>
      <c r="D46" t="s">
        <v>18</v>
      </c>
    </row>
    <row r="47" spans="1:13">
      <c r="A47" s="1">
        <f>1/B47</f>
        <v>0.5</v>
      </c>
      <c r="B47">
        <v>2</v>
      </c>
      <c r="C47" s="1">
        <f>1/D47</f>
        <v>-0.16666666666666666</v>
      </c>
      <c r="D47">
        <v>-6</v>
      </c>
    </row>
    <row r="49" spans="1:13">
      <c r="A49">
        <v>1</v>
      </c>
      <c r="B49">
        <v>2</v>
      </c>
      <c r="C49">
        <v>3</v>
      </c>
      <c r="D49">
        <v>4</v>
      </c>
      <c r="E49">
        <v>5</v>
      </c>
      <c r="F49">
        <v>6</v>
      </c>
      <c r="G49">
        <v>7</v>
      </c>
      <c r="H49">
        <v>8</v>
      </c>
      <c r="I49">
        <v>9</v>
      </c>
      <c r="J49">
        <v>10</v>
      </c>
      <c r="K49">
        <v>11</v>
      </c>
      <c r="L49">
        <v>12</v>
      </c>
    </row>
    <row r="50" spans="1:13">
      <c r="A50">
        <f t="shared" ref="A50" si="26">$A47*$B47^A49+$C47*$D47^A49</f>
        <v>2</v>
      </c>
      <c r="B50">
        <f t="shared" ref="B50" si="27">$A47*$B47^B49+$C47*$D47^B49</f>
        <v>-4</v>
      </c>
      <c r="C50">
        <f t="shared" ref="C50" si="28">$A47*$B47^C49+$C47*$D47^C49</f>
        <v>40</v>
      </c>
      <c r="D50">
        <f t="shared" ref="D50" si="29">$A47*$B47^D49+$C47*$D47^D49</f>
        <v>-208</v>
      </c>
      <c r="E50">
        <f t="shared" ref="E50" si="30">$A47*$B47^E49+$C47*$D47^E49</f>
        <v>1312</v>
      </c>
      <c r="F50">
        <f t="shared" ref="F50" si="31">$A47*$B47^F49+$C47*$D47^F49</f>
        <v>-7744</v>
      </c>
      <c r="G50">
        <f t="shared" ref="G50" si="32">$A47*$B47^G49+$C47*$D47^G49</f>
        <v>46720</v>
      </c>
      <c r="H50">
        <f t="shared" ref="H50" si="33">$A47*$B47^H49+$C47*$D47^H49</f>
        <v>-279808</v>
      </c>
      <c r="I50">
        <f t="shared" ref="I50" si="34">$A47*$B47^I49+$C47*$D47^I49</f>
        <v>1679872</v>
      </c>
      <c r="J50">
        <f t="shared" ref="J50" si="35">$A47*$B47^J49+$C47*$D47^J49</f>
        <v>-10077184</v>
      </c>
      <c r="K50">
        <f t="shared" ref="K50" si="36">$A47*$B47^K49+$C47*$D47^K49</f>
        <v>60467200</v>
      </c>
      <c r="L50">
        <f t="shared" ref="L50" si="37">$A47*$B47^L49+$C47*$D47^L49</f>
        <v>-362795008</v>
      </c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>
      <selection activeCell="G11" sqref="G11"/>
    </sheetView>
  </sheetViews>
  <sheetFormatPr defaultRowHeight="15"/>
  <sheetData>
    <row r="1" spans="1:14">
      <c r="A1">
        <v>5</v>
      </c>
      <c r="B1">
        <v>11</v>
      </c>
      <c r="C1">
        <v>17</v>
      </c>
      <c r="D1">
        <v>23</v>
      </c>
      <c r="E1">
        <v>29</v>
      </c>
      <c r="F1">
        <v>35</v>
      </c>
      <c r="G1">
        <v>41</v>
      </c>
      <c r="H1">
        <v>47</v>
      </c>
      <c r="I1">
        <v>53</v>
      </c>
      <c r="J1">
        <v>59</v>
      </c>
      <c r="K1">
        <v>65</v>
      </c>
      <c r="L1">
        <v>71</v>
      </c>
    </row>
    <row r="2" spans="1:14">
      <c r="B2">
        <f>B1-A1</f>
        <v>6</v>
      </c>
      <c r="C2">
        <f t="shared" ref="C2:L3" si="0">C1-B1</f>
        <v>6</v>
      </c>
      <c r="D2">
        <f t="shared" si="0"/>
        <v>6</v>
      </c>
      <c r="E2">
        <f t="shared" si="0"/>
        <v>6</v>
      </c>
      <c r="F2">
        <f t="shared" si="0"/>
        <v>6</v>
      </c>
      <c r="G2">
        <f t="shared" si="0"/>
        <v>6</v>
      </c>
      <c r="H2">
        <f t="shared" si="0"/>
        <v>6</v>
      </c>
      <c r="I2">
        <f t="shared" si="0"/>
        <v>6</v>
      </c>
      <c r="J2">
        <f t="shared" si="0"/>
        <v>6</v>
      </c>
      <c r="K2">
        <f t="shared" si="0"/>
        <v>6</v>
      </c>
      <c r="L2">
        <f t="shared" si="0"/>
        <v>6</v>
      </c>
    </row>
    <row r="3" spans="1:14">
      <c r="C3">
        <f>C2-B2</f>
        <v>0</v>
      </c>
      <c r="D3">
        <f t="shared" si="0"/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>L2-K2</f>
        <v>0</v>
      </c>
    </row>
    <row r="6" spans="1:14">
      <c r="A6">
        <v>11</v>
      </c>
      <c r="B6">
        <v>16</v>
      </c>
      <c r="C6">
        <v>22</v>
      </c>
      <c r="D6">
        <v>29</v>
      </c>
      <c r="E6">
        <v>37</v>
      </c>
      <c r="F6">
        <v>46</v>
      </c>
      <c r="G6">
        <v>56</v>
      </c>
      <c r="H6">
        <v>67</v>
      </c>
      <c r="I6">
        <v>79</v>
      </c>
      <c r="J6">
        <v>92</v>
      </c>
      <c r="K6">
        <v>106</v>
      </c>
      <c r="L6">
        <v>121</v>
      </c>
    </row>
    <row r="7" spans="1:14">
      <c r="B7">
        <f>B6-A6</f>
        <v>5</v>
      </c>
      <c r="C7">
        <f t="shared" ref="C7:C8" si="1">C6-B6</f>
        <v>6</v>
      </c>
      <c r="D7">
        <f t="shared" ref="D7:D8" si="2">D6-C6</f>
        <v>7</v>
      </c>
      <c r="E7">
        <f t="shared" ref="E7:E8" si="3">E6-D6</f>
        <v>8</v>
      </c>
      <c r="F7">
        <f t="shared" ref="F7:F8" si="4">F6-E6</f>
        <v>9</v>
      </c>
      <c r="G7">
        <f t="shared" ref="G7:G8" si="5">G6-F6</f>
        <v>10</v>
      </c>
      <c r="H7">
        <f t="shared" ref="H7:H8" si="6">H6-G6</f>
        <v>11</v>
      </c>
      <c r="I7">
        <f t="shared" ref="I7:I8" si="7">I6-H6</f>
        <v>12</v>
      </c>
      <c r="J7">
        <f t="shared" ref="J7:J8" si="8">J6-I6</f>
        <v>13</v>
      </c>
      <c r="K7">
        <f t="shared" ref="K7:K8" si="9">K6-J6</f>
        <v>14</v>
      </c>
      <c r="L7">
        <f t="shared" ref="L7:L8" si="10">L6-K6</f>
        <v>15</v>
      </c>
    </row>
    <row r="8" spans="1:14">
      <c r="C8">
        <f>C7-B7</f>
        <v>1</v>
      </c>
      <c r="D8">
        <f t="shared" si="2"/>
        <v>1</v>
      </c>
      <c r="E8">
        <f t="shared" si="3"/>
        <v>1</v>
      </c>
      <c r="F8">
        <f t="shared" si="4"/>
        <v>1</v>
      </c>
      <c r="G8">
        <f t="shared" si="5"/>
        <v>1</v>
      </c>
      <c r="H8">
        <f t="shared" si="6"/>
        <v>1</v>
      </c>
      <c r="I8">
        <f t="shared" si="7"/>
        <v>1</v>
      </c>
      <c r="J8">
        <f t="shared" si="8"/>
        <v>1</v>
      </c>
      <c r="K8">
        <f t="shared" si="9"/>
        <v>1</v>
      </c>
      <c r="L8">
        <f>L7-K7</f>
        <v>1</v>
      </c>
    </row>
    <row r="11" spans="1:14">
      <c r="A11">
        <v>21</v>
      </c>
      <c r="B11">
        <v>15</v>
      </c>
      <c r="C11">
        <v>11</v>
      </c>
      <c r="D11">
        <v>9</v>
      </c>
      <c r="E11">
        <v>9</v>
      </c>
      <c r="F11">
        <v>11</v>
      </c>
      <c r="G11">
        <v>15</v>
      </c>
      <c r="H11">
        <v>21</v>
      </c>
      <c r="I11">
        <v>29</v>
      </c>
      <c r="J11">
        <v>39</v>
      </c>
      <c r="K11">
        <v>51</v>
      </c>
      <c r="L11">
        <v>65</v>
      </c>
      <c r="M11">
        <v>81</v>
      </c>
      <c r="N11">
        <v>99</v>
      </c>
    </row>
    <row r="12" spans="1:14">
      <c r="B12">
        <f>B11-A11</f>
        <v>-6</v>
      </c>
      <c r="C12">
        <f t="shared" ref="C12:C13" si="11">C11-B11</f>
        <v>-4</v>
      </c>
      <c r="D12">
        <f t="shared" ref="D12:D13" si="12">D11-C11</f>
        <v>-2</v>
      </c>
      <c r="E12">
        <f t="shared" ref="E12:E13" si="13">E11-D11</f>
        <v>0</v>
      </c>
      <c r="F12">
        <f t="shared" ref="F12:F13" si="14">F11-E11</f>
        <v>2</v>
      </c>
      <c r="G12">
        <f t="shared" ref="G12:G13" si="15">G11-F11</f>
        <v>4</v>
      </c>
      <c r="H12">
        <f t="shared" ref="H12:H13" si="16">H11-G11</f>
        <v>6</v>
      </c>
      <c r="I12">
        <f t="shared" ref="I12:I13" si="17">I11-H11</f>
        <v>8</v>
      </c>
      <c r="J12">
        <f t="shared" ref="J12:J13" si="18">J11-I11</f>
        <v>10</v>
      </c>
      <c r="K12">
        <f t="shared" ref="K12:K13" si="19">K11-J11</f>
        <v>12</v>
      </c>
      <c r="L12">
        <f t="shared" ref="L12:L13" si="20">L11-K11</f>
        <v>14</v>
      </c>
      <c r="M12">
        <f t="shared" ref="M12:M13" si="21">M11-L11</f>
        <v>16</v>
      </c>
      <c r="N12">
        <f t="shared" ref="N12:N13" si="22">N11-M11</f>
        <v>18</v>
      </c>
    </row>
    <row r="13" spans="1:14">
      <c r="C13">
        <f>C12-B12</f>
        <v>2</v>
      </c>
      <c r="D13">
        <f t="shared" si="12"/>
        <v>2</v>
      </c>
      <c r="E13">
        <f>E12-D12</f>
        <v>2</v>
      </c>
      <c r="F13">
        <f t="shared" si="14"/>
        <v>2</v>
      </c>
      <c r="G13">
        <f t="shared" si="15"/>
        <v>2</v>
      </c>
      <c r="H13">
        <f t="shared" si="16"/>
        <v>2</v>
      </c>
      <c r="I13">
        <f t="shared" si="17"/>
        <v>2</v>
      </c>
      <c r="J13">
        <f t="shared" si="18"/>
        <v>2</v>
      </c>
      <c r="K13">
        <f t="shared" si="19"/>
        <v>2</v>
      </c>
      <c r="L13">
        <f t="shared" si="20"/>
        <v>2</v>
      </c>
      <c r="M13">
        <f t="shared" si="21"/>
        <v>2</v>
      </c>
      <c r="N13">
        <f>N12-M12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Section A</vt:lpstr>
      <vt:lpstr>Section B</vt:lpstr>
      <vt:lpstr>Section C-1</vt:lpstr>
      <vt:lpstr>Section C-2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Pearce</dc:creator>
  <cp:lastModifiedBy>Kent Pearce</cp:lastModifiedBy>
  <dcterms:created xsi:type="dcterms:W3CDTF">2011-11-07T16:03:32Z</dcterms:created>
  <dcterms:modified xsi:type="dcterms:W3CDTF">2011-11-07T18:00:52Z</dcterms:modified>
</cp:coreProperties>
</file>