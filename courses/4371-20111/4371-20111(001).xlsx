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4790" windowHeight="13680" activeTab="8"/>
  </bookViews>
  <sheets>
    <sheet name="Sheet1" sheetId="1" r:id="rId1"/>
    <sheet name="Sheet2" sheetId="2" r:id="rId2"/>
    <sheet name="Projects" sheetId="4" r:id="rId3"/>
    <sheet name="Project 5" sheetId="6" r:id="rId4"/>
    <sheet name="Project 6" sheetId="9" r:id="rId5"/>
    <sheet name="Mid-Term" sheetId="7" r:id="rId6"/>
    <sheet name="Historical" sheetId="5" r:id="rId7"/>
    <sheet name="Statistics" sheetId="8" r:id="rId8"/>
    <sheet name="Sheet3" sheetId="10" r:id="rId9"/>
  </sheets>
  <calcPr calcId="145621"/>
</workbook>
</file>

<file path=xl/calcChain.xml><?xml version="1.0" encoding="utf-8"?>
<calcChain xmlns="http://schemas.openxmlformats.org/spreadsheetml/2006/main">
  <c r="N2" i="4" l="1"/>
  <c r="O2" i="4" s="1"/>
  <c r="N3" i="4"/>
  <c r="O3" i="4" s="1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AA18" i="9"/>
  <c r="AA19" i="9"/>
  <c r="AA13" i="9"/>
  <c r="AA11" i="9"/>
  <c r="AA10" i="9"/>
  <c r="AA9" i="9"/>
  <c r="AA8" i="9"/>
  <c r="AA7" i="9"/>
  <c r="AA6" i="9"/>
  <c r="AA5" i="9"/>
  <c r="AA4" i="9"/>
  <c r="AA3" i="9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  <c r="L10" i="8"/>
  <c r="L9" i="8"/>
  <c r="L8" i="8"/>
  <c r="L7" i="8"/>
  <c r="L6" i="8"/>
  <c r="L5" i="8"/>
  <c r="L4" i="8"/>
  <c r="L3" i="8"/>
  <c r="L2" i="8"/>
  <c r="H2" i="6"/>
  <c r="H3" i="6"/>
  <c r="H4" i="6"/>
  <c r="H5" i="6"/>
  <c r="H6" i="6"/>
  <c r="H7" i="6"/>
  <c r="H8" i="6"/>
  <c r="H9" i="6"/>
  <c r="H10" i="6"/>
  <c r="G3" i="7"/>
  <c r="G22" i="7"/>
  <c r="G23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B27" i="7" s="1"/>
  <c r="G2" i="7"/>
  <c r="K10" i="5"/>
  <c r="K9" i="5"/>
  <c r="K8" i="5"/>
  <c r="K7" i="5"/>
  <c r="K6" i="5"/>
  <c r="K5" i="5"/>
  <c r="K4" i="5"/>
  <c r="K3" i="5"/>
  <c r="K2" i="5"/>
  <c r="E27" i="7" l="1"/>
  <c r="E28" i="7" s="1"/>
  <c r="E29" i="7" s="1"/>
  <c r="E30" i="7" s="1"/>
  <c r="B29" i="7"/>
  <c r="B39" i="7"/>
  <c r="B33" i="7"/>
  <c r="B35" i="7"/>
  <c r="B28" i="7"/>
  <c r="B38" i="7"/>
  <c r="B36" i="7"/>
  <c r="B37" i="7" s="1"/>
  <c r="B30" i="7" l="1"/>
  <c r="E31" i="7"/>
  <c r="B34" i="7"/>
</calcChain>
</file>

<file path=xl/sharedStrings.xml><?xml version="1.0" encoding="utf-8"?>
<sst xmlns="http://schemas.openxmlformats.org/spreadsheetml/2006/main" count="584" uniqueCount="182">
  <si>
    <t xml:space="preserve">R10345715 </t>
  </si>
  <si>
    <t xml:space="preserve">Registered on Web </t>
  </si>
  <si>
    <t xml:space="preserve">Undergraduate - TTU </t>
  </si>
  <si>
    <t xml:space="preserve">  </t>
  </si>
  <si>
    <t>E-mail</t>
  </si>
  <si>
    <t xml:space="preserve">R00798216 </t>
  </si>
  <si>
    <t xml:space="preserve">R00861479 </t>
  </si>
  <si>
    <t xml:space="preserve">R10176353 </t>
  </si>
  <si>
    <t xml:space="preserve">R00439355 </t>
  </si>
  <si>
    <t xml:space="preserve">R10331348 </t>
  </si>
  <si>
    <t xml:space="preserve">R00364760 </t>
  </si>
  <si>
    <t xml:space="preserve">R00284685 </t>
  </si>
  <si>
    <t xml:space="preserve">R00448659 </t>
  </si>
  <si>
    <t xml:space="preserve">R00838580 </t>
  </si>
  <si>
    <t xml:space="preserve">R01961166 </t>
  </si>
  <si>
    <t xml:space="preserve">Lomas, Rodney M. </t>
  </si>
  <si>
    <t xml:space="preserve">R10200308 </t>
  </si>
  <si>
    <t xml:space="preserve">R00865651 </t>
  </si>
  <si>
    <t xml:space="preserve">R10330254 </t>
  </si>
  <si>
    <t xml:space="preserve">R10280583 </t>
  </si>
  <si>
    <t xml:space="preserve">R00430092 </t>
  </si>
  <si>
    <t xml:space="preserve">R00803562 </t>
  </si>
  <si>
    <t xml:space="preserve">R00687088 </t>
  </si>
  <si>
    <t xml:space="preserve">R01957190 </t>
  </si>
  <si>
    <t xml:space="preserve">R00455748 </t>
  </si>
  <si>
    <t xml:space="preserve">R00839107 </t>
  </si>
  <si>
    <t xml:space="preserve">Billstrom, Whitnie R.  </t>
  </si>
  <si>
    <t xml:space="preserve">Bowers, Sarah I.  </t>
  </si>
  <si>
    <t xml:space="preserve">Bruce, Anna L.  </t>
  </si>
  <si>
    <t xml:space="preserve">Buesing, Meagan B.  </t>
  </si>
  <si>
    <t xml:space="preserve">Cain, Taylor J.  </t>
  </si>
  <si>
    <t xml:space="preserve">Carnell, Kami K.  </t>
  </si>
  <si>
    <t xml:space="preserve">Carter, Meredith L.  </t>
  </si>
  <si>
    <t xml:space="preserve">Hansen, Sandi N.  </t>
  </si>
  <si>
    <t xml:space="preserve">Hinzman, Natalie A.  </t>
  </si>
  <si>
    <t xml:space="preserve">Howell, Todd H.  </t>
  </si>
  <si>
    <t xml:space="preserve">Kongstvedt, Michael R.  </t>
  </si>
  <si>
    <t xml:space="preserve">Luna, Brian E.  </t>
  </si>
  <si>
    <t xml:space="preserve">Parker, Nicholas B.  </t>
  </si>
  <si>
    <t xml:space="preserve">Perry, Leanne M.  </t>
  </si>
  <si>
    <t xml:space="preserve">Rasch, Sarah K.  </t>
  </si>
  <si>
    <t xml:space="preserve">Roberson, Kimberly C.  </t>
  </si>
  <si>
    <t xml:space="preserve">Rodriguez, Athena L.  </t>
  </si>
  <si>
    <t xml:space="preserve">Teutsch, Taylor L.  </t>
  </si>
  <si>
    <t xml:space="preserve">Vasquez, Andrew  </t>
  </si>
  <si>
    <t xml:space="preserve">Wuensche, Britt K.  </t>
  </si>
  <si>
    <t>Name</t>
  </si>
  <si>
    <t>Comment</t>
  </si>
  <si>
    <t>McClelland, Timothy</t>
  </si>
  <si>
    <t>R00282407</t>
  </si>
  <si>
    <t>Group</t>
  </si>
  <si>
    <t>A</t>
  </si>
  <si>
    <t>B</t>
  </si>
  <si>
    <t>C</t>
  </si>
  <si>
    <t>D</t>
  </si>
  <si>
    <t>E</t>
  </si>
  <si>
    <t>F</t>
  </si>
  <si>
    <t>H</t>
  </si>
  <si>
    <t>I</t>
  </si>
  <si>
    <t>Athena R.</t>
  </si>
  <si>
    <t>Sandi H.</t>
  </si>
  <si>
    <t>Nicholas P.</t>
  </si>
  <si>
    <t>Taylor C.</t>
  </si>
  <si>
    <t>Britt W.</t>
  </si>
  <si>
    <t>Todd H.</t>
  </si>
  <si>
    <t>Leanne P.</t>
  </si>
  <si>
    <t>Sarah R.</t>
  </si>
  <si>
    <t>Natalie H.</t>
  </si>
  <si>
    <t>Whitnie B.</t>
  </si>
  <si>
    <t>Anna B.</t>
  </si>
  <si>
    <t>Timothy M.</t>
  </si>
  <si>
    <t>Meredith C.</t>
  </si>
  <si>
    <t>Meagan B.</t>
  </si>
  <si>
    <t>Taylor R.</t>
  </si>
  <si>
    <t>Rodney L.</t>
  </si>
  <si>
    <t>G</t>
  </si>
  <si>
    <t>Kimberly R.</t>
  </si>
  <si>
    <t>Michael K.</t>
  </si>
  <si>
    <t>Brian L.</t>
  </si>
  <si>
    <t>Andrew V.</t>
  </si>
  <si>
    <t>Kami C.</t>
  </si>
  <si>
    <t>Sarah B.</t>
  </si>
  <si>
    <t>Historical</t>
  </si>
  <si>
    <t>Leibnitz</t>
  </si>
  <si>
    <t>Kovalesvski</t>
  </si>
  <si>
    <t>Archimedes</t>
  </si>
  <si>
    <t>Gauss</t>
  </si>
  <si>
    <t>Thales</t>
  </si>
  <si>
    <t>Pascal</t>
  </si>
  <si>
    <t>Lagrange</t>
  </si>
  <si>
    <t>Euclid</t>
  </si>
  <si>
    <t>Hilbert</t>
  </si>
  <si>
    <t>Project #1</t>
  </si>
  <si>
    <t>Project #2</t>
  </si>
  <si>
    <t>Project #3</t>
  </si>
  <si>
    <t>Project #4</t>
  </si>
  <si>
    <t>Project #5</t>
  </si>
  <si>
    <t>Project #6</t>
  </si>
  <si>
    <t>Project #7</t>
  </si>
  <si>
    <t>Project #8</t>
  </si>
  <si>
    <t>Project #9</t>
  </si>
  <si>
    <t>Members</t>
  </si>
  <si>
    <t>Oral Pres</t>
  </si>
  <si>
    <t>Demon</t>
  </si>
  <si>
    <t>Grammar</t>
  </si>
  <si>
    <t>Style</t>
  </si>
  <si>
    <t>Completeness</t>
  </si>
  <si>
    <t>Total</t>
  </si>
  <si>
    <t>Basic</t>
  </si>
  <si>
    <t>Relationships</t>
  </si>
  <si>
    <t>Rosters</t>
  </si>
  <si>
    <t>Page 1</t>
  </si>
  <si>
    <t>Page 2</t>
  </si>
  <si>
    <t>Page 3</t>
  </si>
  <si>
    <t>Back Page</t>
  </si>
  <si>
    <t>Exam</t>
  </si>
  <si>
    <t>Mean</t>
  </si>
  <si>
    <t>Median</t>
  </si>
  <si>
    <t>Mode</t>
  </si>
  <si>
    <t>Midrange</t>
  </si>
  <si>
    <t>StanDev</t>
  </si>
  <si>
    <t>Range</t>
  </si>
  <si>
    <t>1st Quartile</t>
  </si>
  <si>
    <t>3rd Quartile</t>
  </si>
  <si>
    <t>Minimum</t>
  </si>
  <si>
    <t>Maximum</t>
  </si>
  <si>
    <t>InnerQuartile</t>
  </si>
  <si>
    <t>70-79.9</t>
  </si>
  <si>
    <t>80-89.9</t>
  </si>
  <si>
    <t>90-99.5</t>
  </si>
  <si>
    <t>100-109.5</t>
  </si>
  <si>
    <t>Classes</t>
  </si>
  <si>
    <t>Frequency</t>
  </si>
  <si>
    <t>Central Tendency</t>
  </si>
  <si>
    <t>Dispersion</t>
  </si>
  <si>
    <t>Data</t>
  </si>
  <si>
    <t>Stat</t>
  </si>
  <si>
    <t>Charts</t>
  </si>
  <si>
    <t>Hypoth</t>
  </si>
  <si>
    <t>Projects</t>
  </si>
  <si>
    <t>Statistics</t>
  </si>
  <si>
    <t>Logo</t>
  </si>
  <si>
    <t>Mid-Term</t>
  </si>
  <si>
    <t>Final</t>
  </si>
  <si>
    <t>Section I</t>
  </si>
  <si>
    <t>KP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</si>
  <si>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</si>
  <si>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</si>
  <si>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</si>
  <si>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</si>
  <si>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</si>
  <si>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</si>
  <si>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</si>
  <si>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</si>
  <si>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</si>
  <si>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</si>
  <si>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</si>
  <si>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</si>
  <si>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</si>
  <si>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</si>
  <si>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</si>
  <si>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</si>
  <si>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</si>
  <si>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</si>
  <si>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</si>
  <si>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</si>
  <si>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</si>
  <si>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</si>
  <si>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Section II</t>
  </si>
  <si>
    <t>Section III</t>
  </si>
  <si>
    <t>IV</t>
  </si>
  <si>
    <t>Solutions</t>
  </si>
  <si>
    <t>x</t>
  </si>
  <si>
    <t>Possible Page Values</t>
  </si>
  <si>
    <t>Weighted</t>
  </si>
  <si>
    <t>Percentage</t>
  </si>
  <si>
    <t>9-1</t>
  </si>
  <si>
    <t>9-2</t>
  </si>
  <si>
    <t>9-3</t>
  </si>
  <si>
    <t>9-4</t>
  </si>
  <si>
    <t>School</t>
  </si>
  <si>
    <t>Essay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</si>
</sst>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Mid-Term Scores</c:v>
          </c:tx>
          <c:invertIfNegative val="0"/>
          <c:cat>
            <c:strRef>
              <c:f>'Mid-Term'!$D$27:$D$30</c:f>
              <c:strCache>
                <c:ptCount val="4"/>
                <c:pt idx="0">
                  <c:v>70-79.9</c:v>
                </c:pt>
                <c:pt idx="1">
                  <c:v>80-89.9</c:v>
                </c:pt>
                <c:pt idx="2">
                  <c:v>90-99.5</c:v>
                </c:pt>
                <c:pt idx="3">
                  <c:v>100-109.5</c:v>
                </c:pt>
              </c:strCache>
            </c:strRef>
          </c:cat>
          <c:val>
            <c:numRef>
              <c:f>'Mid-Term'!$E$27:$E$30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28896"/>
        <c:axId val="97846400"/>
      </c:barChart>
      <c:catAx>
        <c:axId val="98128896"/>
        <c:scaling>
          <c:orientation val="minMax"/>
        </c:scaling>
        <c:delete val="0"/>
        <c:axPos val="b"/>
        <c:majorTickMark val="out"/>
        <c:minorTickMark val="none"/>
        <c:tickLblPos val="nextTo"/>
        <c:crossAx val="97846400"/>
        <c:crosses val="autoZero"/>
        <c:auto val="1"/>
        <c:lblAlgn val="ctr"/>
        <c:lblOffset val="100"/>
        <c:noMultiLvlLbl val="0"/>
      </c:catAx>
      <c:valAx>
        <c:axId val="9784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12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32</xdr:row>
      <xdr:rowOff>9525</xdr:rowOff>
    </xdr:from>
    <xdr:to>
      <xdr:col>7</xdr:col>
      <xdr:colOff>581025</xdr:colOff>
      <xdr:row>44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sqref="A1:Q23"/>
    </sheetView>
  </sheetViews>
  <sheetFormatPr defaultRowHeight="15" x14ac:dyDescent="0.25"/>
  <cols>
    <col min="1" max="1" width="35.7109375" customWidth="1"/>
    <col min="2" max="2" width="35.7109375" hidden="1" customWidth="1"/>
    <col min="3" max="8" width="0" hidden="1" customWidth="1"/>
  </cols>
  <sheetData>
    <row r="1" spans="1:17" x14ac:dyDescent="0.25">
      <c r="A1" t="s">
        <v>46</v>
      </c>
      <c r="I1" t="s">
        <v>50</v>
      </c>
      <c r="J1" t="s">
        <v>139</v>
      </c>
      <c r="K1" t="s">
        <v>82</v>
      </c>
      <c r="L1" t="s">
        <v>140</v>
      </c>
      <c r="M1" t="s">
        <v>141</v>
      </c>
      <c r="N1" t="s">
        <v>142</v>
      </c>
      <c r="O1" t="s">
        <v>143</v>
      </c>
      <c r="P1" t="s">
        <v>107</v>
      </c>
      <c r="Q1" t="s">
        <v>175</v>
      </c>
    </row>
    <row r="2" spans="1:17" x14ac:dyDescent="0.25">
      <c r="A2" t="s">
        <v>33</v>
      </c>
      <c r="B2" t="s">
        <v>11</v>
      </c>
      <c r="C2" t="s">
        <v>1</v>
      </c>
      <c r="D2" t="s">
        <v>2</v>
      </c>
      <c r="E2">
        <v>3</v>
      </c>
      <c r="F2" t="s">
        <v>3</v>
      </c>
      <c r="G2" t="s">
        <v>3</v>
      </c>
      <c r="H2" t="s">
        <v>4</v>
      </c>
      <c r="I2" t="s">
        <v>51</v>
      </c>
      <c r="J2">
        <v>389.25</v>
      </c>
      <c r="K2">
        <v>95</v>
      </c>
      <c r="L2">
        <v>103</v>
      </c>
      <c r="N2">
        <v>101</v>
      </c>
      <c r="P2">
        <f>SUM(J2:O2)</f>
        <v>688.25</v>
      </c>
      <c r="Q2">
        <f>100*P2/(400+100+100+100)</f>
        <v>98.321428571428569</v>
      </c>
    </row>
    <row r="3" spans="1:17" x14ac:dyDescent="0.25">
      <c r="A3" t="s">
        <v>38</v>
      </c>
      <c r="B3" t="s">
        <v>18</v>
      </c>
      <c r="C3" t="s">
        <v>1</v>
      </c>
      <c r="D3" t="s">
        <v>2</v>
      </c>
      <c r="E3">
        <v>3</v>
      </c>
      <c r="F3" t="s">
        <v>3</v>
      </c>
      <c r="G3" t="s">
        <v>3</v>
      </c>
      <c r="H3" t="s">
        <v>4</v>
      </c>
      <c r="I3" t="s">
        <v>51</v>
      </c>
      <c r="J3">
        <v>389.25</v>
      </c>
      <c r="K3">
        <v>95</v>
      </c>
      <c r="L3">
        <v>103</v>
      </c>
      <c r="N3">
        <v>95</v>
      </c>
      <c r="P3">
        <f t="shared" ref="P3:P23" si="0">SUM(J3:O3)</f>
        <v>682.25</v>
      </c>
      <c r="Q3">
        <f t="shared" ref="Q3:Q23" si="1">100*P3/(400+100+100+100)</f>
        <v>97.464285714285708</v>
      </c>
    </row>
    <row r="4" spans="1:17" x14ac:dyDescent="0.25">
      <c r="A4" t="s">
        <v>42</v>
      </c>
      <c r="B4" t="s">
        <v>22</v>
      </c>
      <c r="C4" t="s">
        <v>1</v>
      </c>
      <c r="D4" t="s">
        <v>2</v>
      </c>
      <c r="E4">
        <v>3</v>
      </c>
      <c r="F4" t="s">
        <v>3</v>
      </c>
      <c r="G4" t="s">
        <v>3</v>
      </c>
      <c r="H4" t="s">
        <v>4</v>
      </c>
      <c r="I4" t="s">
        <v>51</v>
      </c>
      <c r="J4">
        <v>389.25</v>
      </c>
      <c r="K4">
        <v>95</v>
      </c>
      <c r="L4">
        <v>103</v>
      </c>
      <c r="N4">
        <v>93</v>
      </c>
      <c r="P4">
        <f t="shared" si="0"/>
        <v>680.25</v>
      </c>
      <c r="Q4">
        <f t="shared" si="1"/>
        <v>97.178571428571431</v>
      </c>
    </row>
    <row r="5" spans="1:17" x14ac:dyDescent="0.25">
      <c r="A5" t="s">
        <v>30</v>
      </c>
      <c r="B5" t="s">
        <v>8</v>
      </c>
      <c r="C5" t="s">
        <v>1</v>
      </c>
      <c r="D5" t="s">
        <v>2</v>
      </c>
      <c r="E5">
        <v>3</v>
      </c>
      <c r="F5" t="s">
        <v>3</v>
      </c>
      <c r="G5" t="s">
        <v>3</v>
      </c>
      <c r="H5" t="s">
        <v>4</v>
      </c>
      <c r="I5" t="s">
        <v>52</v>
      </c>
      <c r="J5">
        <v>314</v>
      </c>
      <c r="K5">
        <v>78</v>
      </c>
      <c r="L5">
        <v>97</v>
      </c>
      <c r="N5">
        <v>94.5</v>
      </c>
      <c r="P5">
        <f t="shared" si="0"/>
        <v>583.5</v>
      </c>
      <c r="Q5">
        <f t="shared" si="1"/>
        <v>83.357142857142861</v>
      </c>
    </row>
    <row r="6" spans="1:17" x14ac:dyDescent="0.25">
      <c r="A6" t="s">
        <v>35</v>
      </c>
      <c r="B6" t="s">
        <v>13</v>
      </c>
      <c r="C6" t="s">
        <v>1</v>
      </c>
      <c r="D6" t="s">
        <v>2</v>
      </c>
      <c r="E6">
        <v>3</v>
      </c>
      <c r="F6" t="s">
        <v>3</v>
      </c>
      <c r="G6" t="s">
        <v>3</v>
      </c>
      <c r="H6" t="s">
        <v>4</v>
      </c>
      <c r="I6" t="s">
        <v>52</v>
      </c>
      <c r="J6">
        <v>314</v>
      </c>
      <c r="K6">
        <v>78</v>
      </c>
      <c r="L6">
        <v>97</v>
      </c>
      <c r="N6">
        <v>85.5</v>
      </c>
      <c r="P6">
        <f t="shared" si="0"/>
        <v>574.5</v>
      </c>
      <c r="Q6">
        <f t="shared" si="1"/>
        <v>82.071428571428569</v>
      </c>
    </row>
    <row r="7" spans="1:17" x14ac:dyDescent="0.25">
      <c r="A7" t="s">
        <v>45</v>
      </c>
      <c r="B7" t="s">
        <v>25</v>
      </c>
      <c r="C7" t="s">
        <v>1</v>
      </c>
      <c r="D7" t="s">
        <v>2</v>
      </c>
      <c r="E7">
        <v>3</v>
      </c>
      <c r="F7" t="s">
        <v>3</v>
      </c>
      <c r="G7" t="s">
        <v>3</v>
      </c>
      <c r="H7" t="s">
        <v>4</v>
      </c>
      <c r="I7" t="s">
        <v>52</v>
      </c>
      <c r="J7">
        <v>314</v>
      </c>
      <c r="K7">
        <v>78</v>
      </c>
      <c r="L7">
        <v>97</v>
      </c>
      <c r="N7">
        <v>90.5</v>
      </c>
      <c r="P7">
        <f t="shared" si="0"/>
        <v>579.5</v>
      </c>
      <c r="Q7">
        <f t="shared" si="1"/>
        <v>82.785714285714292</v>
      </c>
    </row>
    <row r="8" spans="1:17" x14ac:dyDescent="0.25">
      <c r="A8" t="s">
        <v>39</v>
      </c>
      <c r="B8" t="s">
        <v>19</v>
      </c>
      <c r="C8" t="s">
        <v>1</v>
      </c>
      <c r="D8" t="s">
        <v>2</v>
      </c>
      <c r="E8">
        <v>3</v>
      </c>
      <c r="F8" t="s">
        <v>3</v>
      </c>
      <c r="G8" t="s">
        <v>3</v>
      </c>
      <c r="H8" t="s">
        <v>4</v>
      </c>
      <c r="I8" t="s">
        <v>53</v>
      </c>
      <c r="J8">
        <v>382.5</v>
      </c>
      <c r="K8">
        <v>96</v>
      </c>
      <c r="L8">
        <v>94</v>
      </c>
      <c r="N8">
        <v>91</v>
      </c>
      <c r="P8">
        <f t="shared" si="0"/>
        <v>663.5</v>
      </c>
      <c r="Q8">
        <f t="shared" si="1"/>
        <v>94.785714285714292</v>
      </c>
    </row>
    <row r="9" spans="1:17" x14ac:dyDescent="0.25">
      <c r="A9" t="s">
        <v>40</v>
      </c>
      <c r="B9" t="s">
        <v>20</v>
      </c>
      <c r="C9" t="s">
        <v>1</v>
      </c>
      <c r="D9" t="s">
        <v>2</v>
      </c>
      <c r="E9">
        <v>3</v>
      </c>
      <c r="F9" t="s">
        <v>3</v>
      </c>
      <c r="G9" t="s">
        <v>3</v>
      </c>
      <c r="H9" t="s">
        <v>4</v>
      </c>
      <c r="I9" t="s">
        <v>53</v>
      </c>
      <c r="J9">
        <v>382.5</v>
      </c>
      <c r="K9">
        <v>96</v>
      </c>
      <c r="L9">
        <v>94</v>
      </c>
      <c r="N9">
        <v>92</v>
      </c>
      <c r="P9">
        <f t="shared" si="0"/>
        <v>664.5</v>
      </c>
      <c r="Q9">
        <f t="shared" si="1"/>
        <v>94.928571428571431</v>
      </c>
    </row>
    <row r="10" spans="1:17" x14ac:dyDescent="0.25">
      <c r="A10" t="s">
        <v>26</v>
      </c>
      <c r="B10" t="s">
        <v>0</v>
      </c>
      <c r="C10" t="s">
        <v>1</v>
      </c>
      <c r="D10" t="s">
        <v>2</v>
      </c>
      <c r="E10">
        <v>3</v>
      </c>
      <c r="F10" t="s">
        <v>3</v>
      </c>
      <c r="G10" t="s">
        <v>3</v>
      </c>
      <c r="H10" t="s">
        <v>4</v>
      </c>
      <c r="I10" t="s">
        <v>54</v>
      </c>
      <c r="J10">
        <v>354</v>
      </c>
      <c r="K10">
        <v>88</v>
      </c>
      <c r="L10">
        <v>102</v>
      </c>
      <c r="N10">
        <v>85.5</v>
      </c>
      <c r="P10">
        <f t="shared" si="0"/>
        <v>629.5</v>
      </c>
      <c r="Q10">
        <f t="shared" si="1"/>
        <v>89.928571428571431</v>
      </c>
    </row>
    <row r="11" spans="1:17" x14ac:dyDescent="0.25">
      <c r="A11" t="s">
        <v>28</v>
      </c>
      <c r="B11" t="s">
        <v>6</v>
      </c>
      <c r="C11" t="s">
        <v>1</v>
      </c>
      <c r="D11" t="s">
        <v>2</v>
      </c>
      <c r="E11">
        <v>3</v>
      </c>
      <c r="F11" t="s">
        <v>3</v>
      </c>
      <c r="G11" t="s">
        <v>3</v>
      </c>
      <c r="H11" t="s">
        <v>4</v>
      </c>
      <c r="I11" t="s">
        <v>54</v>
      </c>
      <c r="J11">
        <v>354</v>
      </c>
      <c r="K11">
        <v>88</v>
      </c>
      <c r="L11">
        <v>102</v>
      </c>
      <c r="N11">
        <v>94</v>
      </c>
      <c r="P11">
        <f t="shared" si="0"/>
        <v>638</v>
      </c>
      <c r="Q11">
        <f t="shared" si="1"/>
        <v>91.142857142857139</v>
      </c>
    </row>
    <row r="12" spans="1:17" x14ac:dyDescent="0.25">
      <c r="A12" t="s">
        <v>34</v>
      </c>
      <c r="B12" t="s">
        <v>12</v>
      </c>
      <c r="C12" t="s">
        <v>1</v>
      </c>
      <c r="D12" t="s">
        <v>2</v>
      </c>
      <c r="E12">
        <v>3</v>
      </c>
      <c r="F12" t="s">
        <v>3</v>
      </c>
      <c r="G12" t="s">
        <v>3</v>
      </c>
      <c r="H12" t="s">
        <v>4</v>
      </c>
      <c r="I12" t="s">
        <v>54</v>
      </c>
      <c r="J12">
        <v>354</v>
      </c>
      <c r="K12">
        <v>88</v>
      </c>
      <c r="L12">
        <v>102</v>
      </c>
      <c r="N12">
        <v>84.5</v>
      </c>
      <c r="P12">
        <f t="shared" si="0"/>
        <v>628.5</v>
      </c>
      <c r="Q12">
        <f t="shared" si="1"/>
        <v>89.785714285714292</v>
      </c>
    </row>
    <row r="13" spans="1:17" x14ac:dyDescent="0.25">
      <c r="A13" t="s">
        <v>29</v>
      </c>
      <c r="B13" t="s">
        <v>7</v>
      </c>
      <c r="C13" t="s">
        <v>1</v>
      </c>
      <c r="D13" t="s">
        <v>2</v>
      </c>
      <c r="E13">
        <v>3</v>
      </c>
      <c r="F13" t="s">
        <v>3</v>
      </c>
      <c r="G13" t="s">
        <v>3</v>
      </c>
      <c r="H13" t="s">
        <v>4</v>
      </c>
      <c r="I13" t="s">
        <v>55</v>
      </c>
      <c r="J13">
        <v>386.5</v>
      </c>
      <c r="K13">
        <v>95</v>
      </c>
      <c r="L13">
        <v>87</v>
      </c>
      <c r="N13">
        <v>89</v>
      </c>
      <c r="P13">
        <f t="shared" si="0"/>
        <v>657.5</v>
      </c>
      <c r="Q13">
        <f t="shared" si="1"/>
        <v>93.928571428571431</v>
      </c>
    </row>
    <row r="14" spans="1:17" x14ac:dyDescent="0.25">
      <c r="A14" t="s">
        <v>32</v>
      </c>
      <c r="B14" t="s">
        <v>10</v>
      </c>
      <c r="C14" t="s">
        <v>1</v>
      </c>
      <c r="D14" t="s">
        <v>2</v>
      </c>
      <c r="E14">
        <v>3</v>
      </c>
      <c r="F14" t="s">
        <v>3</v>
      </c>
      <c r="G14" t="s">
        <v>3</v>
      </c>
      <c r="H14" t="s">
        <v>4</v>
      </c>
      <c r="I14" t="s">
        <v>55</v>
      </c>
      <c r="J14">
        <v>386.5</v>
      </c>
      <c r="K14">
        <v>95</v>
      </c>
      <c r="L14">
        <v>87</v>
      </c>
      <c r="N14">
        <v>99</v>
      </c>
      <c r="P14">
        <f t="shared" si="0"/>
        <v>667.5</v>
      </c>
      <c r="Q14">
        <f t="shared" si="1"/>
        <v>95.357142857142861</v>
      </c>
    </row>
    <row r="15" spans="1:17" x14ac:dyDescent="0.25">
      <c r="A15" t="s">
        <v>48</v>
      </c>
      <c r="B15" t="s">
        <v>49</v>
      </c>
      <c r="C15" t="s">
        <v>1</v>
      </c>
      <c r="D15" t="s">
        <v>2</v>
      </c>
      <c r="E15">
        <v>3</v>
      </c>
      <c r="F15" t="s">
        <v>3</v>
      </c>
      <c r="G15" t="s">
        <v>3</v>
      </c>
      <c r="H15" t="s">
        <v>4</v>
      </c>
      <c r="I15" t="s">
        <v>55</v>
      </c>
      <c r="J15">
        <v>386.5</v>
      </c>
      <c r="K15">
        <v>95</v>
      </c>
      <c r="L15">
        <v>87</v>
      </c>
      <c r="N15">
        <v>82</v>
      </c>
      <c r="P15">
        <f t="shared" si="0"/>
        <v>650.5</v>
      </c>
      <c r="Q15">
        <f t="shared" si="1"/>
        <v>92.928571428571431</v>
      </c>
    </row>
    <row r="16" spans="1:17" x14ac:dyDescent="0.25">
      <c r="A16" t="s">
        <v>15</v>
      </c>
      <c r="B16" t="s">
        <v>16</v>
      </c>
      <c r="C16" t="s">
        <v>1</v>
      </c>
      <c r="D16" t="s">
        <v>2</v>
      </c>
      <c r="E16">
        <v>3</v>
      </c>
      <c r="F16" t="s">
        <v>3</v>
      </c>
      <c r="G16" t="s">
        <v>3</v>
      </c>
      <c r="H16" t="s">
        <v>4</v>
      </c>
      <c r="I16" t="s">
        <v>56</v>
      </c>
      <c r="J16">
        <v>378</v>
      </c>
      <c r="K16">
        <v>89</v>
      </c>
      <c r="L16">
        <v>98</v>
      </c>
      <c r="N16">
        <v>95</v>
      </c>
      <c r="P16">
        <f t="shared" si="0"/>
        <v>660</v>
      </c>
      <c r="Q16">
        <f t="shared" si="1"/>
        <v>94.285714285714292</v>
      </c>
    </row>
    <row r="17" spans="1:17" x14ac:dyDescent="0.25">
      <c r="A17" t="s">
        <v>43</v>
      </c>
      <c r="B17" t="s">
        <v>23</v>
      </c>
      <c r="C17" t="s">
        <v>1</v>
      </c>
      <c r="D17" t="s">
        <v>2</v>
      </c>
      <c r="E17">
        <v>3</v>
      </c>
      <c r="F17" t="s">
        <v>3</v>
      </c>
      <c r="G17" t="s">
        <v>3</v>
      </c>
      <c r="H17" t="s">
        <v>4</v>
      </c>
      <c r="I17" t="s">
        <v>56</v>
      </c>
      <c r="J17">
        <v>378</v>
      </c>
      <c r="K17">
        <v>89</v>
      </c>
      <c r="L17">
        <v>98</v>
      </c>
      <c r="N17">
        <v>83</v>
      </c>
      <c r="P17">
        <f t="shared" si="0"/>
        <v>648</v>
      </c>
      <c r="Q17">
        <f t="shared" si="1"/>
        <v>92.571428571428569</v>
      </c>
    </row>
    <row r="18" spans="1:17" x14ac:dyDescent="0.25">
      <c r="A18" t="s">
        <v>36</v>
      </c>
      <c r="B18" t="s">
        <v>14</v>
      </c>
      <c r="C18" t="s">
        <v>1</v>
      </c>
      <c r="D18" t="s">
        <v>2</v>
      </c>
      <c r="E18">
        <v>3</v>
      </c>
      <c r="F18" t="s">
        <v>3</v>
      </c>
      <c r="G18" t="s">
        <v>3</v>
      </c>
      <c r="H18" t="s">
        <v>4</v>
      </c>
      <c r="I18" t="s">
        <v>75</v>
      </c>
      <c r="J18">
        <v>359</v>
      </c>
      <c r="K18">
        <v>85</v>
      </c>
      <c r="L18">
        <v>61</v>
      </c>
      <c r="N18">
        <v>88</v>
      </c>
      <c r="P18">
        <f t="shared" si="0"/>
        <v>593</v>
      </c>
      <c r="Q18">
        <f t="shared" si="1"/>
        <v>84.714285714285708</v>
      </c>
    </row>
    <row r="19" spans="1:17" x14ac:dyDescent="0.25">
      <c r="A19" t="s">
        <v>41</v>
      </c>
      <c r="B19" t="s">
        <v>21</v>
      </c>
      <c r="C19" t="s">
        <v>1</v>
      </c>
      <c r="D19" t="s">
        <v>2</v>
      </c>
      <c r="E19">
        <v>3</v>
      </c>
      <c r="F19" t="s">
        <v>3</v>
      </c>
      <c r="G19" t="s">
        <v>3</v>
      </c>
      <c r="H19" t="s">
        <v>4</v>
      </c>
      <c r="I19" t="s">
        <v>75</v>
      </c>
      <c r="J19">
        <v>359</v>
      </c>
      <c r="K19">
        <v>85</v>
      </c>
      <c r="L19">
        <v>61</v>
      </c>
      <c r="N19">
        <v>78.5</v>
      </c>
      <c r="P19">
        <f t="shared" si="0"/>
        <v>583.5</v>
      </c>
      <c r="Q19">
        <f t="shared" si="1"/>
        <v>83.357142857142861</v>
      </c>
    </row>
    <row r="20" spans="1:17" x14ac:dyDescent="0.25">
      <c r="A20" t="s">
        <v>37</v>
      </c>
      <c r="B20" t="s">
        <v>17</v>
      </c>
      <c r="C20" t="s">
        <v>1</v>
      </c>
      <c r="D20" t="s">
        <v>2</v>
      </c>
      <c r="E20">
        <v>3</v>
      </c>
      <c r="F20" t="s">
        <v>3</v>
      </c>
      <c r="G20" t="s">
        <v>3</v>
      </c>
      <c r="H20" t="s">
        <v>4</v>
      </c>
      <c r="I20" t="s">
        <v>57</v>
      </c>
      <c r="J20">
        <v>371</v>
      </c>
      <c r="K20">
        <v>94</v>
      </c>
      <c r="L20">
        <v>74</v>
      </c>
      <c r="N20">
        <v>91</v>
      </c>
      <c r="P20">
        <f t="shared" si="0"/>
        <v>630</v>
      </c>
      <c r="Q20">
        <f t="shared" si="1"/>
        <v>90</v>
      </c>
    </row>
    <row r="21" spans="1:17" x14ac:dyDescent="0.25">
      <c r="A21" t="s">
        <v>44</v>
      </c>
      <c r="B21" t="s">
        <v>24</v>
      </c>
      <c r="C21" t="s">
        <v>1</v>
      </c>
      <c r="D21" t="s">
        <v>2</v>
      </c>
      <c r="E21">
        <v>3</v>
      </c>
      <c r="F21" t="s">
        <v>3</v>
      </c>
      <c r="G21" t="s">
        <v>3</v>
      </c>
      <c r="H21" t="s">
        <v>4</v>
      </c>
      <c r="I21" t="s">
        <v>57</v>
      </c>
      <c r="J21">
        <v>371</v>
      </c>
      <c r="K21">
        <v>94</v>
      </c>
      <c r="L21">
        <v>74</v>
      </c>
      <c r="N21">
        <v>88.5</v>
      </c>
      <c r="P21">
        <f t="shared" si="0"/>
        <v>627.5</v>
      </c>
      <c r="Q21">
        <f t="shared" si="1"/>
        <v>89.642857142857139</v>
      </c>
    </row>
    <row r="22" spans="1:17" x14ac:dyDescent="0.25">
      <c r="A22" t="s">
        <v>27</v>
      </c>
      <c r="B22" t="s">
        <v>5</v>
      </c>
      <c r="C22" t="s">
        <v>1</v>
      </c>
      <c r="D22" t="s">
        <v>2</v>
      </c>
      <c r="E22">
        <v>3</v>
      </c>
      <c r="F22" t="s">
        <v>3</v>
      </c>
      <c r="G22" t="s">
        <v>3</v>
      </c>
      <c r="H22" t="s">
        <v>4</v>
      </c>
      <c r="I22" t="s">
        <v>58</v>
      </c>
      <c r="J22">
        <v>381.5</v>
      </c>
      <c r="K22">
        <v>87</v>
      </c>
      <c r="L22">
        <v>87</v>
      </c>
      <c r="N22">
        <v>92.5</v>
      </c>
      <c r="P22">
        <f t="shared" si="0"/>
        <v>648</v>
      </c>
      <c r="Q22">
        <f t="shared" si="1"/>
        <v>92.571428571428569</v>
      </c>
    </row>
    <row r="23" spans="1:17" x14ac:dyDescent="0.25">
      <c r="A23" t="s">
        <v>31</v>
      </c>
      <c r="B23" t="s">
        <v>9</v>
      </c>
      <c r="C23" t="s">
        <v>1</v>
      </c>
      <c r="D23" t="s">
        <v>2</v>
      </c>
      <c r="E23">
        <v>3</v>
      </c>
      <c r="F23" t="s">
        <v>3</v>
      </c>
      <c r="G23" t="s">
        <v>3</v>
      </c>
      <c r="H23" t="s">
        <v>4</v>
      </c>
      <c r="I23" t="s">
        <v>58</v>
      </c>
      <c r="J23">
        <v>381.5</v>
      </c>
      <c r="K23">
        <v>87</v>
      </c>
      <c r="L23">
        <v>87</v>
      </c>
      <c r="N23">
        <v>91.5</v>
      </c>
      <c r="P23">
        <f t="shared" si="0"/>
        <v>647</v>
      </c>
      <c r="Q23">
        <f t="shared" si="1"/>
        <v>92.428571428571431</v>
      </c>
    </row>
  </sheetData>
  <sortState ref="A2:P23">
    <sortCondition ref="I2:I23"/>
    <sortCondition ref="A2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defaultRowHeight="15" x14ac:dyDescent="0.25"/>
  <cols>
    <col min="1" max="1" width="22.42578125" customWidth="1"/>
    <col min="2" max="2" width="64.28515625" customWidth="1"/>
  </cols>
  <sheetData>
    <row r="1" spans="1:2" x14ac:dyDescent="0.25">
      <c r="A1" s="1" t="s">
        <v>46</v>
      </c>
      <c r="B1" s="1" t="s">
        <v>47</v>
      </c>
    </row>
    <row r="2" spans="1:2" ht="30.75" customHeight="1" x14ac:dyDescent="0.25">
      <c r="A2" s="1" t="s">
        <v>26</v>
      </c>
      <c r="B2" s="1"/>
    </row>
    <row r="3" spans="1:2" ht="30.75" customHeight="1" x14ac:dyDescent="0.25">
      <c r="A3" s="1" t="s">
        <v>27</v>
      </c>
      <c r="B3" s="1"/>
    </row>
    <row r="4" spans="1:2" ht="30.75" customHeight="1" x14ac:dyDescent="0.25">
      <c r="A4" s="1" t="s">
        <v>28</v>
      </c>
      <c r="B4" s="1"/>
    </row>
    <row r="5" spans="1:2" ht="30.75" customHeight="1" x14ac:dyDescent="0.25">
      <c r="A5" s="1" t="s">
        <v>29</v>
      </c>
      <c r="B5" s="1"/>
    </row>
    <row r="6" spans="1:2" ht="30.75" customHeight="1" x14ac:dyDescent="0.25">
      <c r="A6" s="1" t="s">
        <v>30</v>
      </c>
      <c r="B6" s="1"/>
    </row>
    <row r="7" spans="1:2" ht="30.75" customHeight="1" x14ac:dyDescent="0.25">
      <c r="A7" s="1" t="s">
        <v>31</v>
      </c>
      <c r="B7" s="1"/>
    </row>
    <row r="8" spans="1:2" ht="30.75" customHeight="1" x14ac:dyDescent="0.25">
      <c r="A8" s="1" t="s">
        <v>32</v>
      </c>
      <c r="B8" s="1"/>
    </row>
    <row r="9" spans="1:2" ht="30.75" customHeight="1" x14ac:dyDescent="0.25">
      <c r="A9" s="1" t="s">
        <v>33</v>
      </c>
      <c r="B9" s="1"/>
    </row>
    <row r="10" spans="1:2" ht="30.75" customHeight="1" x14ac:dyDescent="0.25">
      <c r="A10" s="1" t="s">
        <v>34</v>
      </c>
      <c r="B10" s="1"/>
    </row>
    <row r="11" spans="1:2" ht="30.75" customHeight="1" x14ac:dyDescent="0.25">
      <c r="A11" s="1" t="s">
        <v>35</v>
      </c>
      <c r="B11" s="1"/>
    </row>
    <row r="12" spans="1:2" ht="30.75" customHeight="1" x14ac:dyDescent="0.25">
      <c r="A12" s="1" t="s">
        <v>36</v>
      </c>
      <c r="B12" s="1"/>
    </row>
    <row r="13" spans="1:2" ht="30.75" customHeight="1" x14ac:dyDescent="0.25">
      <c r="A13" s="1" t="s">
        <v>15</v>
      </c>
      <c r="B13" s="1"/>
    </row>
    <row r="14" spans="1:2" ht="30.75" customHeight="1" x14ac:dyDescent="0.25">
      <c r="A14" s="1" t="s">
        <v>37</v>
      </c>
      <c r="B14" s="1"/>
    </row>
    <row r="15" spans="1:2" ht="30.75" customHeight="1" x14ac:dyDescent="0.25">
      <c r="A15" s="1" t="s">
        <v>48</v>
      </c>
      <c r="B15" s="1"/>
    </row>
    <row r="16" spans="1:2" ht="30.75" customHeight="1" x14ac:dyDescent="0.25">
      <c r="A16" s="1" t="s">
        <v>38</v>
      </c>
      <c r="B16" s="1"/>
    </row>
    <row r="17" spans="1:2" ht="30.75" customHeight="1" x14ac:dyDescent="0.25">
      <c r="A17" s="1" t="s">
        <v>39</v>
      </c>
      <c r="B17" s="1"/>
    </row>
    <row r="18" spans="1:2" ht="30.75" customHeight="1" x14ac:dyDescent="0.25">
      <c r="A18" s="1" t="s">
        <v>40</v>
      </c>
      <c r="B18" s="1"/>
    </row>
    <row r="19" spans="1:2" ht="30.75" customHeight="1" x14ac:dyDescent="0.25">
      <c r="A19" s="1" t="s">
        <v>41</v>
      </c>
      <c r="B19" s="1"/>
    </row>
    <row r="20" spans="1:2" ht="30.75" customHeight="1" x14ac:dyDescent="0.25">
      <c r="A20" s="1" t="s">
        <v>42</v>
      </c>
      <c r="B20" s="1"/>
    </row>
    <row r="21" spans="1:2" ht="30.75" customHeight="1" x14ac:dyDescent="0.25">
      <c r="A21" s="1" t="s">
        <v>43</v>
      </c>
      <c r="B21" s="1"/>
    </row>
    <row r="22" spans="1:2" ht="30.75" customHeight="1" x14ac:dyDescent="0.25">
      <c r="A22" s="1" t="s">
        <v>44</v>
      </c>
      <c r="B22" s="1"/>
    </row>
    <row r="23" spans="1:2" ht="30.75" customHeight="1" x14ac:dyDescent="0.25">
      <c r="A23" s="1" t="s">
        <v>45</v>
      </c>
      <c r="B23" s="1"/>
    </row>
  </sheetData>
  <sortState ref="A2:B23">
    <sortCondition ref="A2:A2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O7" sqref="O7"/>
    </sheetView>
  </sheetViews>
  <sheetFormatPr defaultRowHeight="15" x14ac:dyDescent="0.25"/>
  <cols>
    <col min="1" max="1" width="6.140625" customWidth="1"/>
    <col min="2" max="4" width="10.140625" customWidth="1"/>
  </cols>
  <sheetData>
    <row r="1" spans="1:15" x14ac:dyDescent="0.25">
      <c r="A1" t="s">
        <v>50</v>
      </c>
      <c r="B1" s="27" t="s">
        <v>101</v>
      </c>
      <c r="C1" s="27"/>
      <c r="D1" s="27"/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107</v>
      </c>
      <c r="O1" t="s">
        <v>174</v>
      </c>
    </row>
    <row r="2" spans="1:15" x14ac:dyDescent="0.25">
      <c r="A2" t="s">
        <v>51</v>
      </c>
      <c r="B2" t="s">
        <v>59</v>
      </c>
      <c r="C2" t="s">
        <v>60</v>
      </c>
      <c r="D2" t="s">
        <v>61</v>
      </c>
      <c r="E2">
        <v>100</v>
      </c>
      <c r="F2">
        <v>100</v>
      </c>
      <c r="G2">
        <v>92</v>
      </c>
      <c r="H2">
        <v>100</v>
      </c>
      <c r="I2">
        <v>99.5</v>
      </c>
      <c r="J2">
        <v>105</v>
      </c>
      <c r="K2">
        <v>91</v>
      </c>
      <c r="L2">
        <v>91</v>
      </c>
      <c r="N2">
        <f t="shared" ref="N2:N10" si="0">SUM(E2:M2)</f>
        <v>778.5</v>
      </c>
      <c r="O2">
        <f>N2/2</f>
        <v>389.25</v>
      </c>
    </row>
    <row r="3" spans="1:15" x14ac:dyDescent="0.25">
      <c r="A3" t="s">
        <v>52</v>
      </c>
      <c r="B3" t="s">
        <v>62</v>
      </c>
      <c r="C3" t="s">
        <v>63</v>
      </c>
      <c r="D3" t="s">
        <v>64</v>
      </c>
      <c r="E3">
        <v>100</v>
      </c>
      <c r="F3">
        <v>100</v>
      </c>
      <c r="G3">
        <v>87</v>
      </c>
      <c r="H3">
        <v>98</v>
      </c>
      <c r="I3">
        <v>88</v>
      </c>
      <c r="J3">
        <v>40</v>
      </c>
      <c r="K3">
        <v>59</v>
      </c>
      <c r="L3">
        <v>56</v>
      </c>
      <c r="N3">
        <f t="shared" si="0"/>
        <v>628</v>
      </c>
      <c r="O3">
        <f t="shared" ref="O3:O10" si="1">N3/2</f>
        <v>314</v>
      </c>
    </row>
    <row r="4" spans="1:15" x14ac:dyDescent="0.25">
      <c r="A4" t="s">
        <v>53</v>
      </c>
      <c r="B4" t="s">
        <v>65</v>
      </c>
      <c r="C4" t="s">
        <v>66</v>
      </c>
      <c r="E4">
        <v>100</v>
      </c>
      <c r="F4">
        <v>100</v>
      </c>
      <c r="G4">
        <v>91</v>
      </c>
      <c r="H4">
        <v>99</v>
      </c>
      <c r="I4">
        <v>98</v>
      </c>
      <c r="J4">
        <v>87</v>
      </c>
      <c r="K4">
        <v>88</v>
      </c>
      <c r="L4">
        <v>102</v>
      </c>
      <c r="N4">
        <f t="shared" si="0"/>
        <v>765</v>
      </c>
      <c r="O4">
        <f t="shared" si="1"/>
        <v>382.5</v>
      </c>
    </row>
    <row r="5" spans="1:15" x14ac:dyDescent="0.25">
      <c r="A5" t="s">
        <v>54</v>
      </c>
      <c r="B5" t="s">
        <v>67</v>
      </c>
      <c r="C5" t="s">
        <v>68</v>
      </c>
      <c r="D5" t="s">
        <v>69</v>
      </c>
      <c r="E5">
        <v>100</v>
      </c>
      <c r="F5">
        <v>95</v>
      </c>
      <c r="G5">
        <v>92</v>
      </c>
      <c r="H5">
        <v>90</v>
      </c>
      <c r="I5">
        <v>89</v>
      </c>
      <c r="J5">
        <v>89</v>
      </c>
      <c r="K5">
        <v>54</v>
      </c>
      <c r="L5">
        <v>99</v>
      </c>
      <c r="N5">
        <f t="shared" si="0"/>
        <v>708</v>
      </c>
      <c r="O5">
        <f t="shared" si="1"/>
        <v>354</v>
      </c>
    </row>
    <row r="6" spans="1:15" x14ac:dyDescent="0.25">
      <c r="A6" t="s">
        <v>55</v>
      </c>
      <c r="B6" t="s">
        <v>70</v>
      </c>
      <c r="C6" t="s">
        <v>71</v>
      </c>
      <c r="D6" t="s">
        <v>72</v>
      </c>
      <c r="E6">
        <v>100</v>
      </c>
      <c r="F6">
        <v>100</v>
      </c>
      <c r="G6">
        <v>89</v>
      </c>
      <c r="H6">
        <v>100</v>
      </c>
      <c r="I6">
        <v>95</v>
      </c>
      <c r="J6">
        <v>84</v>
      </c>
      <c r="K6">
        <v>99</v>
      </c>
      <c r="L6">
        <v>106</v>
      </c>
      <c r="N6">
        <f t="shared" si="0"/>
        <v>773</v>
      </c>
      <c r="O6">
        <f t="shared" si="1"/>
        <v>386.5</v>
      </c>
    </row>
    <row r="7" spans="1:15" x14ac:dyDescent="0.25">
      <c r="A7" t="s">
        <v>56</v>
      </c>
      <c r="B7" t="s">
        <v>73</v>
      </c>
      <c r="C7" t="s">
        <v>74</v>
      </c>
      <c r="E7">
        <v>100</v>
      </c>
      <c r="F7">
        <v>100</v>
      </c>
      <c r="G7">
        <v>89</v>
      </c>
      <c r="H7">
        <v>89</v>
      </c>
      <c r="I7">
        <v>98</v>
      </c>
      <c r="J7">
        <v>92</v>
      </c>
      <c r="K7">
        <v>84</v>
      </c>
      <c r="L7">
        <v>104</v>
      </c>
      <c r="N7">
        <f t="shared" si="0"/>
        <v>756</v>
      </c>
      <c r="O7">
        <f t="shared" si="1"/>
        <v>378</v>
      </c>
    </row>
    <row r="8" spans="1:15" x14ac:dyDescent="0.25">
      <c r="A8" t="s">
        <v>75</v>
      </c>
      <c r="B8" t="s">
        <v>76</v>
      </c>
      <c r="C8" t="s">
        <v>77</v>
      </c>
      <c r="E8">
        <v>100</v>
      </c>
      <c r="F8">
        <v>100</v>
      </c>
      <c r="G8">
        <v>89</v>
      </c>
      <c r="H8">
        <v>86</v>
      </c>
      <c r="I8">
        <v>93</v>
      </c>
      <c r="J8">
        <v>69</v>
      </c>
      <c r="K8">
        <v>82</v>
      </c>
      <c r="L8">
        <v>99</v>
      </c>
      <c r="N8">
        <f t="shared" si="0"/>
        <v>718</v>
      </c>
      <c r="O8">
        <f t="shared" si="1"/>
        <v>359</v>
      </c>
    </row>
    <row r="9" spans="1:15" x14ac:dyDescent="0.25">
      <c r="A9" t="s">
        <v>57</v>
      </c>
      <c r="B9" t="s">
        <v>78</v>
      </c>
      <c r="C9" t="s">
        <v>79</v>
      </c>
      <c r="E9">
        <v>100</v>
      </c>
      <c r="F9">
        <v>100</v>
      </c>
      <c r="G9">
        <v>98</v>
      </c>
      <c r="H9">
        <v>83</v>
      </c>
      <c r="I9">
        <v>97</v>
      </c>
      <c r="J9">
        <v>90</v>
      </c>
      <c r="K9">
        <v>70</v>
      </c>
      <c r="L9">
        <v>104</v>
      </c>
      <c r="N9">
        <f t="shared" si="0"/>
        <v>742</v>
      </c>
      <c r="O9">
        <f t="shared" si="1"/>
        <v>371</v>
      </c>
    </row>
    <row r="10" spans="1:15" x14ac:dyDescent="0.25">
      <c r="A10" t="s">
        <v>58</v>
      </c>
      <c r="B10" t="s">
        <v>80</v>
      </c>
      <c r="C10" t="s">
        <v>81</v>
      </c>
      <c r="E10">
        <v>100</v>
      </c>
      <c r="F10">
        <v>100</v>
      </c>
      <c r="G10">
        <v>87</v>
      </c>
      <c r="H10">
        <v>95</v>
      </c>
      <c r="I10">
        <v>93</v>
      </c>
      <c r="J10">
        <v>91</v>
      </c>
      <c r="K10">
        <v>93</v>
      </c>
      <c r="L10">
        <v>104</v>
      </c>
      <c r="N10">
        <f t="shared" si="0"/>
        <v>763</v>
      </c>
      <c r="O10">
        <f t="shared" si="1"/>
        <v>381.5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A2" sqref="A2:F10"/>
    </sheetView>
  </sheetViews>
  <sheetFormatPr defaultRowHeight="15" x14ac:dyDescent="0.25"/>
  <cols>
    <col min="2" max="2" width="11.140625" bestFit="1" customWidth="1"/>
    <col min="3" max="3" width="11.42578125" bestFit="1" customWidth="1"/>
    <col min="4" max="4" width="10.7109375" bestFit="1" customWidth="1"/>
  </cols>
  <sheetData>
    <row r="1" spans="1:8" x14ac:dyDescent="0.25">
      <c r="A1" t="s">
        <v>50</v>
      </c>
      <c r="B1" s="27" t="s">
        <v>101</v>
      </c>
      <c r="C1" s="27"/>
      <c r="D1" s="27"/>
      <c r="E1" s="9" t="s">
        <v>108</v>
      </c>
      <c r="F1" s="9" t="s">
        <v>110</v>
      </c>
      <c r="G1" s="9" t="s">
        <v>109</v>
      </c>
      <c r="H1" s="9" t="s">
        <v>107</v>
      </c>
    </row>
    <row r="2" spans="1:8" x14ac:dyDescent="0.25">
      <c r="A2" t="s">
        <v>51</v>
      </c>
      <c r="B2" t="s">
        <v>59</v>
      </c>
      <c r="C2" t="s">
        <v>60</v>
      </c>
      <c r="D2" t="s">
        <v>61</v>
      </c>
      <c r="E2" s="9">
        <v>27</v>
      </c>
      <c r="F2" s="9">
        <v>54</v>
      </c>
      <c r="G2" s="9">
        <v>19</v>
      </c>
      <c r="H2" s="9">
        <f t="shared" ref="H2:H10" si="0">SUM(E2:G2)</f>
        <v>100</v>
      </c>
    </row>
    <row r="3" spans="1:8" x14ac:dyDescent="0.25">
      <c r="A3" t="s">
        <v>52</v>
      </c>
      <c r="B3" t="s">
        <v>62</v>
      </c>
      <c r="C3" t="s">
        <v>63</v>
      </c>
      <c r="D3" t="s">
        <v>64</v>
      </c>
      <c r="E3" s="9">
        <v>27</v>
      </c>
      <c r="F3" s="9">
        <v>54</v>
      </c>
      <c r="G3" s="9">
        <v>17</v>
      </c>
      <c r="H3" s="9">
        <f t="shared" si="0"/>
        <v>98</v>
      </c>
    </row>
    <row r="4" spans="1:8" x14ac:dyDescent="0.25">
      <c r="A4" t="s">
        <v>53</v>
      </c>
      <c r="B4" t="s">
        <v>65</v>
      </c>
      <c r="C4" t="s">
        <v>66</v>
      </c>
      <c r="E4" s="9">
        <v>27</v>
      </c>
      <c r="F4" s="9">
        <v>52</v>
      </c>
      <c r="G4" s="9">
        <v>20</v>
      </c>
      <c r="H4" s="9">
        <f t="shared" si="0"/>
        <v>99</v>
      </c>
    </row>
    <row r="5" spans="1:8" x14ac:dyDescent="0.25">
      <c r="A5" t="s">
        <v>54</v>
      </c>
      <c r="B5" t="s">
        <v>67</v>
      </c>
      <c r="C5" t="s">
        <v>68</v>
      </c>
      <c r="D5" t="s">
        <v>69</v>
      </c>
      <c r="E5" s="9">
        <v>27</v>
      </c>
      <c r="F5" s="9">
        <v>47</v>
      </c>
      <c r="G5" s="9">
        <v>16</v>
      </c>
      <c r="H5" s="9">
        <f t="shared" si="0"/>
        <v>90</v>
      </c>
    </row>
    <row r="6" spans="1:8" x14ac:dyDescent="0.25">
      <c r="A6" t="s">
        <v>55</v>
      </c>
      <c r="B6" t="s">
        <v>70</v>
      </c>
      <c r="C6" t="s">
        <v>71</v>
      </c>
      <c r="D6" t="s">
        <v>72</v>
      </c>
      <c r="E6" s="9">
        <v>26</v>
      </c>
      <c r="F6" s="9">
        <v>54</v>
      </c>
      <c r="G6" s="9">
        <v>20</v>
      </c>
      <c r="H6" s="9">
        <f t="shared" si="0"/>
        <v>100</v>
      </c>
    </row>
    <row r="7" spans="1:8" x14ac:dyDescent="0.25">
      <c r="A7" t="s">
        <v>56</v>
      </c>
      <c r="B7" t="s">
        <v>73</v>
      </c>
      <c r="C7" t="s">
        <v>74</v>
      </c>
      <c r="E7" s="9">
        <v>20</v>
      </c>
      <c r="F7" s="9">
        <v>52</v>
      </c>
      <c r="G7" s="9">
        <v>17</v>
      </c>
      <c r="H7" s="9">
        <f t="shared" si="0"/>
        <v>89</v>
      </c>
    </row>
    <row r="8" spans="1:8" x14ac:dyDescent="0.25">
      <c r="A8" t="s">
        <v>75</v>
      </c>
      <c r="B8" t="s">
        <v>76</v>
      </c>
      <c r="C8" t="s">
        <v>77</v>
      </c>
      <c r="E8" s="9">
        <v>27</v>
      </c>
      <c r="F8" s="9">
        <v>45</v>
      </c>
      <c r="G8" s="9">
        <v>14</v>
      </c>
      <c r="H8" s="9">
        <f t="shared" si="0"/>
        <v>86</v>
      </c>
    </row>
    <row r="9" spans="1:8" x14ac:dyDescent="0.25">
      <c r="A9" t="s">
        <v>57</v>
      </c>
      <c r="B9" t="s">
        <v>78</v>
      </c>
      <c r="C9" t="s">
        <v>79</v>
      </c>
      <c r="E9" s="9">
        <v>21</v>
      </c>
      <c r="F9" s="9">
        <v>54</v>
      </c>
      <c r="G9" s="9">
        <v>8</v>
      </c>
      <c r="H9" s="9">
        <f t="shared" si="0"/>
        <v>83</v>
      </c>
    </row>
    <row r="10" spans="1:8" x14ac:dyDescent="0.25">
      <c r="A10" t="s">
        <v>58</v>
      </c>
      <c r="B10" t="s">
        <v>80</v>
      </c>
      <c r="C10" t="s">
        <v>81</v>
      </c>
      <c r="E10" s="9">
        <v>27</v>
      </c>
      <c r="F10" s="9">
        <v>48</v>
      </c>
      <c r="G10" s="9">
        <v>20</v>
      </c>
      <c r="H10" s="9">
        <f t="shared" si="0"/>
        <v>95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opLeftCell="C1" workbookViewId="0">
      <selection activeCell="A16" sqref="A16:AA19"/>
    </sheetView>
  </sheetViews>
  <sheetFormatPr defaultRowHeight="15" x14ac:dyDescent="0.25"/>
  <cols>
    <col min="1" max="1" width="25.5703125" customWidth="1"/>
    <col min="2" max="4" width="14.140625" customWidth="1"/>
    <col min="5" max="26" width="4.140625" customWidth="1"/>
  </cols>
  <sheetData>
    <row r="1" spans="1:27" x14ac:dyDescent="0.25">
      <c r="E1" s="28" t="s">
        <v>144</v>
      </c>
      <c r="F1" s="29"/>
      <c r="G1" s="29"/>
      <c r="H1" s="29"/>
      <c r="I1" s="29"/>
      <c r="J1" s="29"/>
      <c r="K1" s="29"/>
      <c r="L1" s="29"/>
      <c r="M1" s="29"/>
      <c r="N1" s="30"/>
      <c r="O1" s="28" t="s">
        <v>168</v>
      </c>
      <c r="P1" s="29"/>
      <c r="Q1" s="29"/>
      <c r="R1" s="29"/>
      <c r="S1" s="29"/>
      <c r="T1" s="30"/>
      <c r="U1" s="28" t="s">
        <v>169</v>
      </c>
      <c r="V1" s="29"/>
      <c r="W1" s="30"/>
      <c r="X1" s="31" t="s">
        <v>170</v>
      </c>
      <c r="Y1" s="32"/>
      <c r="Z1" s="33"/>
    </row>
    <row r="2" spans="1:27" x14ac:dyDescent="0.25">
      <c r="A2" t="s">
        <v>50</v>
      </c>
      <c r="B2" s="27" t="s">
        <v>101</v>
      </c>
      <c r="C2" s="27"/>
      <c r="D2" s="27"/>
      <c r="E2" s="14" t="s">
        <v>146</v>
      </c>
      <c r="F2" s="15" t="s">
        <v>147</v>
      </c>
      <c r="G2" s="15" t="s">
        <v>148</v>
      </c>
      <c r="H2" s="15" t="s">
        <v>149</v>
      </c>
      <c r="I2" s="15" t="s">
        <v>150</v>
      </c>
      <c r="J2" s="15" t="s">
        <v>151</v>
      </c>
      <c r="K2" s="15" t="s">
        <v>152</v>
      </c>
      <c r="L2" s="15" t="s">
        <v>153</v>
      </c>
      <c r="M2" s="15" t="s">
        <v>154</v>
      </c>
      <c r="N2" s="16" t="s">
        <v>155</v>
      </c>
      <c r="O2" s="14" t="s">
        <v>156</v>
      </c>
      <c r="P2" s="15" t="s">
        <v>157</v>
      </c>
      <c r="Q2" s="15" t="s">
        <v>158</v>
      </c>
      <c r="R2" s="15" t="s">
        <v>159</v>
      </c>
      <c r="S2" s="15" t="s">
        <v>160</v>
      </c>
      <c r="T2" s="15" t="s">
        <v>161</v>
      </c>
      <c r="U2" s="14" t="s">
        <v>162</v>
      </c>
      <c r="V2" s="15" t="s">
        <v>163</v>
      </c>
      <c r="W2" s="15" t="s">
        <v>164</v>
      </c>
      <c r="X2" s="14" t="s">
        <v>165</v>
      </c>
      <c r="Y2" s="15" t="s">
        <v>166</v>
      </c>
      <c r="Z2" s="16" t="s">
        <v>167</v>
      </c>
      <c r="AA2" s="11" t="s">
        <v>107</v>
      </c>
    </row>
    <row r="3" spans="1:27" x14ac:dyDescent="0.25">
      <c r="A3" t="s">
        <v>51</v>
      </c>
      <c r="B3" t="s">
        <v>59</v>
      </c>
      <c r="C3" t="s">
        <v>60</v>
      </c>
      <c r="D3" t="s">
        <v>61</v>
      </c>
      <c r="E3" s="14">
        <v>4</v>
      </c>
      <c r="F3" s="15">
        <v>6</v>
      </c>
      <c r="G3" s="15">
        <v>4</v>
      </c>
      <c r="H3" s="15">
        <v>3</v>
      </c>
      <c r="I3" s="15">
        <v>6</v>
      </c>
      <c r="J3" s="15">
        <v>4</v>
      </c>
      <c r="K3" s="15">
        <v>2</v>
      </c>
      <c r="L3" s="15">
        <v>6</v>
      </c>
      <c r="M3" s="15">
        <v>6</v>
      </c>
      <c r="N3" s="16">
        <v>6</v>
      </c>
      <c r="O3" s="14">
        <v>6</v>
      </c>
      <c r="P3" s="15">
        <v>6</v>
      </c>
      <c r="Q3" s="15">
        <v>6</v>
      </c>
      <c r="R3" s="15">
        <v>6</v>
      </c>
      <c r="S3" s="15">
        <v>6</v>
      </c>
      <c r="T3" s="15">
        <v>6</v>
      </c>
      <c r="U3" s="14">
        <v>4</v>
      </c>
      <c r="V3" s="15">
        <v>6</v>
      </c>
      <c r="W3" s="15">
        <v>6</v>
      </c>
      <c r="X3" s="21"/>
      <c r="Y3" s="15">
        <v>2</v>
      </c>
      <c r="Z3" s="16">
        <v>4</v>
      </c>
      <c r="AA3" s="11">
        <f t="shared" ref="AA3:AA13" si="0">SUM(E3:Z3)</f>
        <v>105</v>
      </c>
    </row>
    <row r="4" spans="1:27" x14ac:dyDescent="0.25">
      <c r="A4" t="s">
        <v>52</v>
      </c>
      <c r="B4" t="s">
        <v>62</v>
      </c>
      <c r="C4" t="s">
        <v>63</v>
      </c>
      <c r="D4" t="s">
        <v>64</v>
      </c>
      <c r="E4" s="14">
        <v>4</v>
      </c>
      <c r="F4" s="15">
        <v>6</v>
      </c>
      <c r="G4" s="15">
        <v>4</v>
      </c>
      <c r="H4" s="15">
        <v>3</v>
      </c>
      <c r="I4" s="15">
        <v>6</v>
      </c>
      <c r="J4" s="15">
        <v>4</v>
      </c>
      <c r="K4" s="15">
        <v>2</v>
      </c>
      <c r="L4" s="15">
        <v>6</v>
      </c>
      <c r="M4" s="15">
        <v>5</v>
      </c>
      <c r="N4" s="16">
        <v>0</v>
      </c>
      <c r="O4" s="14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4">
        <v>0</v>
      </c>
      <c r="V4" s="15">
        <v>0</v>
      </c>
      <c r="W4" s="15">
        <v>0</v>
      </c>
      <c r="X4" s="21"/>
      <c r="Y4" s="15">
        <v>0</v>
      </c>
      <c r="Z4" s="16">
        <v>0</v>
      </c>
      <c r="AA4" s="11">
        <f t="shared" si="0"/>
        <v>40</v>
      </c>
    </row>
    <row r="5" spans="1:27" x14ac:dyDescent="0.25">
      <c r="A5" t="s">
        <v>53</v>
      </c>
      <c r="B5" t="s">
        <v>65</v>
      </c>
      <c r="C5" t="s">
        <v>66</v>
      </c>
      <c r="E5" s="14">
        <v>4</v>
      </c>
      <c r="F5" s="15">
        <v>6</v>
      </c>
      <c r="G5" s="15">
        <v>4</v>
      </c>
      <c r="H5" s="15">
        <v>3</v>
      </c>
      <c r="I5" s="15">
        <v>2</v>
      </c>
      <c r="J5" s="15">
        <v>4</v>
      </c>
      <c r="K5" s="15">
        <v>2</v>
      </c>
      <c r="L5" s="15">
        <v>0</v>
      </c>
      <c r="M5" s="15">
        <v>6</v>
      </c>
      <c r="N5" s="16">
        <v>6</v>
      </c>
      <c r="O5" s="14">
        <v>6</v>
      </c>
      <c r="P5" s="15">
        <v>5</v>
      </c>
      <c r="Q5" s="15">
        <v>5</v>
      </c>
      <c r="R5" s="15">
        <v>6</v>
      </c>
      <c r="S5" s="15">
        <v>5</v>
      </c>
      <c r="T5" s="15">
        <v>6</v>
      </c>
      <c r="U5" s="14">
        <v>4</v>
      </c>
      <c r="V5" s="15">
        <v>5</v>
      </c>
      <c r="W5" s="15">
        <v>2</v>
      </c>
      <c r="X5" s="21"/>
      <c r="Y5" s="15">
        <v>2</v>
      </c>
      <c r="Z5" s="16">
        <v>4</v>
      </c>
      <c r="AA5" s="11">
        <f t="shared" si="0"/>
        <v>87</v>
      </c>
    </row>
    <row r="6" spans="1:27" x14ac:dyDescent="0.25">
      <c r="A6" t="s">
        <v>54</v>
      </c>
      <c r="B6" t="s">
        <v>67</v>
      </c>
      <c r="C6" t="s">
        <v>68</v>
      </c>
      <c r="D6" t="s">
        <v>69</v>
      </c>
      <c r="E6" s="14">
        <v>4</v>
      </c>
      <c r="F6" s="15">
        <v>6</v>
      </c>
      <c r="G6" s="15">
        <v>4</v>
      </c>
      <c r="H6" s="15">
        <v>3</v>
      </c>
      <c r="I6" s="15">
        <v>6</v>
      </c>
      <c r="J6" s="15">
        <v>4</v>
      </c>
      <c r="K6" s="15">
        <v>2</v>
      </c>
      <c r="L6" s="15">
        <v>6</v>
      </c>
      <c r="M6" s="15">
        <v>6</v>
      </c>
      <c r="N6" s="16">
        <v>5</v>
      </c>
      <c r="O6" s="14">
        <v>6</v>
      </c>
      <c r="P6" s="15">
        <v>5</v>
      </c>
      <c r="Q6" s="15">
        <v>5</v>
      </c>
      <c r="R6" s="15">
        <v>6</v>
      </c>
      <c r="S6" s="15">
        <v>5</v>
      </c>
      <c r="T6" s="15">
        <v>6</v>
      </c>
      <c r="U6" s="14">
        <v>4</v>
      </c>
      <c r="V6" s="15" t="s">
        <v>172</v>
      </c>
      <c r="W6" s="15" t="s">
        <v>172</v>
      </c>
      <c r="X6" s="21"/>
      <c r="Y6" s="15">
        <v>2</v>
      </c>
      <c r="Z6" s="16">
        <v>4</v>
      </c>
      <c r="AA6" s="11">
        <f t="shared" si="0"/>
        <v>89</v>
      </c>
    </row>
    <row r="7" spans="1:27" x14ac:dyDescent="0.25">
      <c r="A7" t="s">
        <v>55</v>
      </c>
      <c r="B7" t="s">
        <v>70</v>
      </c>
      <c r="C7" t="s">
        <v>71</v>
      </c>
      <c r="D7" t="s">
        <v>72</v>
      </c>
      <c r="E7" s="14">
        <v>4</v>
      </c>
      <c r="F7" s="15">
        <v>5</v>
      </c>
      <c r="G7" s="15">
        <v>4</v>
      </c>
      <c r="H7" s="15">
        <v>3</v>
      </c>
      <c r="I7" s="15">
        <v>5</v>
      </c>
      <c r="J7" s="15">
        <v>4</v>
      </c>
      <c r="K7" s="15">
        <v>1</v>
      </c>
      <c r="L7" s="15">
        <v>0</v>
      </c>
      <c r="M7" s="15">
        <v>5</v>
      </c>
      <c r="N7" s="16">
        <v>6</v>
      </c>
      <c r="O7" s="14">
        <v>5</v>
      </c>
      <c r="P7" s="15">
        <v>3</v>
      </c>
      <c r="Q7" s="15">
        <v>6</v>
      </c>
      <c r="R7" s="15">
        <v>5</v>
      </c>
      <c r="S7" s="15">
        <v>6</v>
      </c>
      <c r="T7" s="15">
        <v>6</v>
      </c>
      <c r="U7" s="14">
        <v>4</v>
      </c>
      <c r="V7" s="15">
        <v>5</v>
      </c>
      <c r="W7" s="15">
        <v>2</v>
      </c>
      <c r="X7" s="21"/>
      <c r="Y7" s="15">
        <v>2</v>
      </c>
      <c r="Z7" s="16">
        <v>4</v>
      </c>
      <c r="AA7" s="11">
        <f t="shared" si="0"/>
        <v>85</v>
      </c>
    </row>
    <row r="8" spans="1:27" x14ac:dyDescent="0.25">
      <c r="A8" t="s">
        <v>56</v>
      </c>
      <c r="B8" t="s">
        <v>73</v>
      </c>
      <c r="C8" t="s">
        <v>74</v>
      </c>
      <c r="E8" s="14">
        <v>4</v>
      </c>
      <c r="F8" s="15">
        <v>6</v>
      </c>
      <c r="G8" s="15">
        <v>4</v>
      </c>
      <c r="H8" s="15">
        <v>3</v>
      </c>
      <c r="I8" s="15">
        <v>5</v>
      </c>
      <c r="J8" s="15">
        <v>4</v>
      </c>
      <c r="K8" s="15">
        <v>2</v>
      </c>
      <c r="L8" s="15">
        <v>4</v>
      </c>
      <c r="M8" s="15">
        <v>6</v>
      </c>
      <c r="N8" s="16">
        <v>6</v>
      </c>
      <c r="O8" s="14">
        <v>6</v>
      </c>
      <c r="P8" s="15">
        <v>5</v>
      </c>
      <c r="Q8" s="15">
        <v>5</v>
      </c>
      <c r="R8" s="15">
        <v>5</v>
      </c>
      <c r="S8" s="15">
        <v>6</v>
      </c>
      <c r="T8" s="15">
        <v>6</v>
      </c>
      <c r="U8" s="14">
        <v>4</v>
      </c>
      <c r="V8" s="15">
        <v>6</v>
      </c>
      <c r="W8" s="15">
        <v>6</v>
      </c>
      <c r="X8" s="21"/>
      <c r="Y8" s="15">
        <v>1</v>
      </c>
      <c r="Z8" s="16">
        <v>0</v>
      </c>
      <c r="AA8" s="11">
        <f t="shared" si="0"/>
        <v>94</v>
      </c>
    </row>
    <row r="9" spans="1:27" x14ac:dyDescent="0.25">
      <c r="A9" t="s">
        <v>75</v>
      </c>
      <c r="B9" t="s">
        <v>76</v>
      </c>
      <c r="C9" t="s">
        <v>77</v>
      </c>
      <c r="E9" s="14">
        <v>3</v>
      </c>
      <c r="F9" s="15">
        <v>4</v>
      </c>
      <c r="G9" s="15">
        <v>0</v>
      </c>
      <c r="H9" s="15">
        <v>1</v>
      </c>
      <c r="I9" s="15">
        <v>2</v>
      </c>
      <c r="J9" s="15">
        <v>4</v>
      </c>
      <c r="K9" s="15">
        <v>2</v>
      </c>
      <c r="L9" s="15">
        <v>3</v>
      </c>
      <c r="M9" s="15">
        <v>1</v>
      </c>
      <c r="N9" s="16">
        <v>3</v>
      </c>
      <c r="O9" s="14">
        <v>6</v>
      </c>
      <c r="P9" s="15">
        <v>3</v>
      </c>
      <c r="Q9" s="15">
        <v>5</v>
      </c>
      <c r="R9" s="15">
        <v>5</v>
      </c>
      <c r="S9" s="15">
        <v>6</v>
      </c>
      <c r="T9" s="15">
        <v>4</v>
      </c>
      <c r="U9" s="14">
        <v>4</v>
      </c>
      <c r="V9" s="15">
        <v>5</v>
      </c>
      <c r="W9" s="15">
        <v>3</v>
      </c>
      <c r="X9" s="21"/>
      <c r="Y9" s="15">
        <v>2</v>
      </c>
      <c r="Z9" s="16">
        <v>4</v>
      </c>
      <c r="AA9" s="11">
        <f t="shared" si="0"/>
        <v>70</v>
      </c>
    </row>
    <row r="10" spans="1:27" x14ac:dyDescent="0.25">
      <c r="A10" t="s">
        <v>57</v>
      </c>
      <c r="B10" t="s">
        <v>78</v>
      </c>
      <c r="C10" t="s">
        <v>79</v>
      </c>
      <c r="E10" s="14">
        <v>4</v>
      </c>
      <c r="F10" s="15">
        <v>6</v>
      </c>
      <c r="G10" s="15">
        <v>4</v>
      </c>
      <c r="H10" s="15">
        <v>3</v>
      </c>
      <c r="I10" s="15">
        <v>6</v>
      </c>
      <c r="J10" s="15">
        <v>4</v>
      </c>
      <c r="K10" s="15">
        <v>2</v>
      </c>
      <c r="L10" s="15">
        <v>6</v>
      </c>
      <c r="M10" s="15">
        <v>6</v>
      </c>
      <c r="N10" s="16">
        <v>4</v>
      </c>
      <c r="O10" s="14">
        <v>6</v>
      </c>
      <c r="P10" s="15">
        <v>3</v>
      </c>
      <c r="Q10" s="15">
        <v>6</v>
      </c>
      <c r="R10" s="15">
        <v>5</v>
      </c>
      <c r="S10" s="15">
        <v>3</v>
      </c>
      <c r="T10" s="15">
        <v>6</v>
      </c>
      <c r="U10" s="14">
        <v>4</v>
      </c>
      <c r="V10" s="15">
        <v>5</v>
      </c>
      <c r="W10" s="15">
        <v>0</v>
      </c>
      <c r="X10" s="21"/>
      <c r="Y10" s="15">
        <v>2</v>
      </c>
      <c r="Z10" s="16">
        <v>4</v>
      </c>
      <c r="AA10" s="11">
        <f t="shared" si="0"/>
        <v>89</v>
      </c>
    </row>
    <row r="11" spans="1:27" x14ac:dyDescent="0.25">
      <c r="A11" t="s">
        <v>58</v>
      </c>
      <c r="B11" t="s">
        <v>80</v>
      </c>
      <c r="C11" t="s">
        <v>81</v>
      </c>
      <c r="E11" s="14">
        <v>4</v>
      </c>
      <c r="F11" s="15">
        <v>6</v>
      </c>
      <c r="G11" s="15">
        <v>0</v>
      </c>
      <c r="H11" s="15">
        <v>3</v>
      </c>
      <c r="I11" s="15">
        <v>6</v>
      </c>
      <c r="J11" s="15">
        <v>4</v>
      </c>
      <c r="K11" s="15">
        <v>2</v>
      </c>
      <c r="L11" s="15">
        <v>6</v>
      </c>
      <c r="M11" s="15">
        <v>5</v>
      </c>
      <c r="N11" s="16">
        <v>6</v>
      </c>
      <c r="O11" s="14">
        <v>6</v>
      </c>
      <c r="P11" s="15">
        <v>6</v>
      </c>
      <c r="Q11" s="15">
        <v>5</v>
      </c>
      <c r="R11" s="15">
        <v>4</v>
      </c>
      <c r="S11" s="15">
        <v>4</v>
      </c>
      <c r="T11" s="15">
        <v>2</v>
      </c>
      <c r="U11" s="14">
        <v>4</v>
      </c>
      <c r="V11" s="15">
        <v>5</v>
      </c>
      <c r="W11" s="15">
        <v>6</v>
      </c>
      <c r="X11" s="21"/>
      <c r="Y11" s="15">
        <v>4</v>
      </c>
      <c r="Z11" s="16">
        <v>4</v>
      </c>
      <c r="AA11" s="11">
        <f t="shared" si="0"/>
        <v>92</v>
      </c>
    </row>
    <row r="12" spans="1:27" x14ac:dyDescent="0.25">
      <c r="E12" s="14"/>
      <c r="F12" s="15"/>
      <c r="G12" s="15"/>
      <c r="H12" s="15"/>
      <c r="I12" s="15"/>
      <c r="J12" s="15"/>
      <c r="K12" s="15"/>
      <c r="L12" s="15"/>
      <c r="M12" s="15"/>
      <c r="N12" s="16"/>
      <c r="O12" s="14"/>
      <c r="P12" s="15"/>
      <c r="Q12" s="15"/>
      <c r="R12" s="15"/>
      <c r="S12" s="15"/>
      <c r="T12" s="15"/>
      <c r="U12" s="14"/>
      <c r="V12" s="15"/>
      <c r="W12" s="15"/>
      <c r="X12" s="21"/>
      <c r="Y12" s="15"/>
      <c r="Z12" s="16"/>
    </row>
    <row r="13" spans="1:27" ht="15.75" thickBot="1" x14ac:dyDescent="0.3">
      <c r="A13" t="s">
        <v>145</v>
      </c>
      <c r="B13" t="s">
        <v>171</v>
      </c>
      <c r="E13" s="17">
        <v>4</v>
      </c>
      <c r="F13" s="12">
        <v>6</v>
      </c>
      <c r="G13" s="12">
        <v>4</v>
      </c>
      <c r="H13" s="12">
        <v>3</v>
      </c>
      <c r="I13" s="12">
        <v>6</v>
      </c>
      <c r="J13" s="12">
        <v>4</v>
      </c>
      <c r="K13" s="12">
        <v>2</v>
      </c>
      <c r="L13" s="12">
        <v>6</v>
      </c>
      <c r="M13" s="12">
        <v>6</v>
      </c>
      <c r="N13" s="18">
        <v>6</v>
      </c>
      <c r="O13" s="17">
        <v>6</v>
      </c>
      <c r="P13" s="12">
        <v>6</v>
      </c>
      <c r="Q13" s="12">
        <v>6</v>
      </c>
      <c r="R13" s="12">
        <v>6</v>
      </c>
      <c r="S13" s="12">
        <v>6</v>
      </c>
      <c r="T13" s="12">
        <v>6</v>
      </c>
      <c r="U13" s="17">
        <v>4</v>
      </c>
      <c r="V13" s="13">
        <v>6</v>
      </c>
      <c r="W13" s="12">
        <v>6</v>
      </c>
      <c r="X13" s="22"/>
      <c r="Y13" s="13">
        <v>4</v>
      </c>
      <c r="Z13" s="18">
        <v>4</v>
      </c>
      <c r="AA13" s="11">
        <f t="shared" si="0"/>
        <v>107</v>
      </c>
    </row>
    <row r="15" spans="1:27" ht="15.75" thickBot="1" x14ac:dyDescent="0.3"/>
    <row r="16" spans="1:27" x14ac:dyDescent="0.25">
      <c r="E16" s="28" t="s">
        <v>144</v>
      </c>
      <c r="F16" s="29"/>
      <c r="G16" s="29"/>
      <c r="H16" s="29"/>
      <c r="I16" s="29"/>
      <c r="J16" s="29"/>
      <c r="K16" s="29"/>
      <c r="L16" s="29"/>
      <c r="M16" s="29"/>
      <c r="N16" s="30"/>
      <c r="O16" s="28" t="s">
        <v>168</v>
      </c>
      <c r="P16" s="29"/>
      <c r="Q16" s="29"/>
      <c r="R16" s="29"/>
      <c r="S16" s="29"/>
      <c r="T16" s="30"/>
      <c r="U16" s="28" t="s">
        <v>169</v>
      </c>
      <c r="V16" s="29"/>
      <c r="W16" s="30"/>
      <c r="X16" s="28" t="s">
        <v>170</v>
      </c>
      <c r="Y16" s="29"/>
      <c r="Z16" s="30"/>
    </row>
    <row r="17" spans="1:27" x14ac:dyDescent="0.25">
      <c r="A17" t="s">
        <v>50</v>
      </c>
      <c r="B17" s="27" t="s">
        <v>101</v>
      </c>
      <c r="C17" s="27"/>
      <c r="D17" s="27"/>
      <c r="E17" s="23" t="s">
        <v>146</v>
      </c>
      <c r="F17" s="24" t="s">
        <v>147</v>
      </c>
      <c r="G17" s="24" t="s">
        <v>148</v>
      </c>
      <c r="H17" s="24" t="s">
        <v>149</v>
      </c>
      <c r="I17" s="24" t="s">
        <v>150</v>
      </c>
      <c r="J17" s="24" t="s">
        <v>151</v>
      </c>
      <c r="K17" s="24" t="s">
        <v>152</v>
      </c>
      <c r="L17" s="24" t="s">
        <v>153</v>
      </c>
      <c r="M17" s="24" t="s">
        <v>154</v>
      </c>
      <c r="N17" s="25" t="s">
        <v>155</v>
      </c>
      <c r="O17" s="23" t="s">
        <v>156</v>
      </c>
      <c r="P17" s="24" t="s">
        <v>157</v>
      </c>
      <c r="Q17" s="24" t="s">
        <v>158</v>
      </c>
      <c r="R17" s="24" t="s">
        <v>159</v>
      </c>
      <c r="S17" s="24" t="s">
        <v>160</v>
      </c>
      <c r="T17" s="24" t="s">
        <v>161</v>
      </c>
      <c r="U17" s="23" t="s">
        <v>162</v>
      </c>
      <c r="V17" s="24" t="s">
        <v>163</v>
      </c>
      <c r="W17" s="24" t="s">
        <v>164</v>
      </c>
      <c r="X17" s="23" t="s">
        <v>165</v>
      </c>
      <c r="Y17" s="24" t="s">
        <v>166</v>
      </c>
      <c r="Z17" s="25" t="s">
        <v>167</v>
      </c>
      <c r="AA17" s="19" t="s">
        <v>107</v>
      </c>
    </row>
    <row r="18" spans="1:27" x14ac:dyDescent="0.25">
      <c r="A18" t="s">
        <v>58</v>
      </c>
      <c r="B18" t="s">
        <v>80</v>
      </c>
      <c r="C18" t="s">
        <v>81</v>
      </c>
      <c r="E18" s="23">
        <v>4</v>
      </c>
      <c r="F18" s="24">
        <v>6</v>
      </c>
      <c r="G18" s="24">
        <v>0</v>
      </c>
      <c r="H18" s="24">
        <v>3</v>
      </c>
      <c r="I18" s="24">
        <v>6</v>
      </c>
      <c r="J18" s="24">
        <v>4</v>
      </c>
      <c r="K18" s="24">
        <v>2</v>
      </c>
      <c r="L18" s="24">
        <v>6</v>
      </c>
      <c r="M18" s="24">
        <v>5</v>
      </c>
      <c r="N18" s="25">
        <v>6</v>
      </c>
      <c r="O18" s="23">
        <v>6</v>
      </c>
      <c r="P18" s="24">
        <v>6</v>
      </c>
      <c r="Q18" s="24">
        <v>5</v>
      </c>
      <c r="R18" s="24">
        <v>4</v>
      </c>
      <c r="S18" s="24">
        <v>4</v>
      </c>
      <c r="T18" s="24">
        <v>2</v>
      </c>
      <c r="U18" s="23">
        <v>4</v>
      </c>
      <c r="V18" s="24">
        <v>5</v>
      </c>
      <c r="W18" s="24">
        <v>6</v>
      </c>
      <c r="X18" s="21"/>
      <c r="Y18" s="24">
        <v>4</v>
      </c>
      <c r="Z18" s="25">
        <v>4</v>
      </c>
      <c r="AA18" s="19">
        <f t="shared" ref="AA18" si="1">SUM(E18:Z18)</f>
        <v>92</v>
      </c>
    </row>
    <row r="19" spans="1:27" ht="15.75" thickBot="1" x14ac:dyDescent="0.3">
      <c r="A19" t="s">
        <v>173</v>
      </c>
      <c r="E19" s="17">
        <v>4</v>
      </c>
      <c r="F19" s="20">
        <v>6</v>
      </c>
      <c r="G19" s="20">
        <v>4</v>
      </c>
      <c r="H19" s="20">
        <v>3</v>
      </c>
      <c r="I19" s="20">
        <v>6</v>
      </c>
      <c r="J19" s="20">
        <v>4</v>
      </c>
      <c r="K19" s="20">
        <v>2</v>
      </c>
      <c r="L19" s="20">
        <v>6</v>
      </c>
      <c r="M19" s="20">
        <v>6</v>
      </c>
      <c r="N19" s="18">
        <v>6</v>
      </c>
      <c r="O19" s="17">
        <v>6</v>
      </c>
      <c r="P19" s="20">
        <v>6</v>
      </c>
      <c r="Q19" s="20">
        <v>6</v>
      </c>
      <c r="R19" s="20">
        <v>6</v>
      </c>
      <c r="S19" s="20">
        <v>6</v>
      </c>
      <c r="T19" s="20">
        <v>6</v>
      </c>
      <c r="U19" s="17">
        <v>4</v>
      </c>
      <c r="V19" s="20">
        <v>6</v>
      </c>
      <c r="W19" s="20">
        <v>6</v>
      </c>
      <c r="X19" s="22"/>
      <c r="Y19" s="20">
        <v>4</v>
      </c>
      <c r="Z19" s="18">
        <v>4</v>
      </c>
      <c r="AA19" s="19">
        <f t="shared" ref="AA19" si="2">SUM(E19:Z19)</f>
        <v>107</v>
      </c>
    </row>
  </sheetData>
  <mergeCells count="10">
    <mergeCell ref="X1:Z1"/>
    <mergeCell ref="B2:D2"/>
    <mergeCell ref="E1:N1"/>
    <mergeCell ref="O1:T1"/>
    <mergeCell ref="U1:W1"/>
    <mergeCell ref="E16:N16"/>
    <mergeCell ref="O16:T16"/>
    <mergeCell ref="U16:W16"/>
    <mergeCell ref="X16:Z16"/>
    <mergeCell ref="B17:D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G2" sqref="G2:G23"/>
    </sheetView>
  </sheetViews>
  <sheetFormatPr defaultRowHeight="15" x14ac:dyDescent="0.25"/>
  <cols>
    <col min="1" max="1" width="21.28515625" customWidth="1"/>
    <col min="2" max="2" width="8.140625" customWidth="1"/>
  </cols>
  <sheetData>
    <row r="1" spans="1:7" x14ac:dyDescent="0.25">
      <c r="A1" t="s">
        <v>46</v>
      </c>
      <c r="B1" t="s">
        <v>115</v>
      </c>
      <c r="C1" t="s">
        <v>111</v>
      </c>
      <c r="D1" t="s">
        <v>112</v>
      </c>
      <c r="E1" t="s">
        <v>113</v>
      </c>
      <c r="F1" t="s">
        <v>114</v>
      </c>
      <c r="G1" t="s">
        <v>107</v>
      </c>
    </row>
    <row r="2" spans="1:7" x14ac:dyDescent="0.25">
      <c r="A2" t="s">
        <v>26</v>
      </c>
      <c r="B2" t="s">
        <v>52</v>
      </c>
      <c r="C2">
        <v>33</v>
      </c>
      <c r="D2">
        <v>41.5</v>
      </c>
      <c r="E2">
        <v>11</v>
      </c>
      <c r="G2">
        <f>SUM(C2:F2)</f>
        <v>85.5</v>
      </c>
    </row>
    <row r="3" spans="1:7" x14ac:dyDescent="0.25">
      <c r="A3" t="s">
        <v>27</v>
      </c>
      <c r="C3">
        <v>36</v>
      </c>
      <c r="D3">
        <v>40.5</v>
      </c>
      <c r="E3">
        <v>10</v>
      </c>
      <c r="F3">
        <v>6</v>
      </c>
      <c r="G3">
        <f>SUM(C3:F3)</f>
        <v>92.5</v>
      </c>
    </row>
    <row r="4" spans="1:7" x14ac:dyDescent="0.25">
      <c r="A4" t="s">
        <v>28</v>
      </c>
      <c r="B4" t="s">
        <v>52</v>
      </c>
      <c r="C4">
        <v>37</v>
      </c>
      <c r="D4">
        <v>42</v>
      </c>
      <c r="E4">
        <v>11</v>
      </c>
      <c r="F4">
        <v>4</v>
      </c>
      <c r="G4">
        <f t="shared" ref="G4:G23" si="0">SUM(C4:F4)</f>
        <v>94</v>
      </c>
    </row>
    <row r="5" spans="1:7" x14ac:dyDescent="0.25">
      <c r="A5" t="s">
        <v>29</v>
      </c>
      <c r="B5" t="s">
        <v>54</v>
      </c>
      <c r="C5">
        <v>35</v>
      </c>
      <c r="D5">
        <v>37</v>
      </c>
      <c r="E5">
        <v>11</v>
      </c>
      <c r="F5">
        <v>6</v>
      </c>
      <c r="G5">
        <f t="shared" si="0"/>
        <v>89</v>
      </c>
    </row>
    <row r="6" spans="1:7" x14ac:dyDescent="0.25">
      <c r="A6" t="s">
        <v>30</v>
      </c>
      <c r="B6" t="s">
        <v>53</v>
      </c>
      <c r="C6">
        <v>36</v>
      </c>
      <c r="D6">
        <v>42.5</v>
      </c>
      <c r="E6">
        <v>11</v>
      </c>
      <c r="F6">
        <v>5</v>
      </c>
      <c r="G6">
        <f t="shared" si="0"/>
        <v>94.5</v>
      </c>
    </row>
    <row r="7" spans="1:7" x14ac:dyDescent="0.25">
      <c r="A7" t="s">
        <v>31</v>
      </c>
      <c r="B7" t="s">
        <v>52</v>
      </c>
      <c r="C7">
        <v>38</v>
      </c>
      <c r="D7">
        <v>37.5</v>
      </c>
      <c r="E7">
        <v>10</v>
      </c>
      <c r="F7">
        <v>6</v>
      </c>
      <c r="G7">
        <f t="shared" si="0"/>
        <v>91.5</v>
      </c>
    </row>
    <row r="8" spans="1:7" x14ac:dyDescent="0.25">
      <c r="A8" t="s">
        <v>32</v>
      </c>
      <c r="B8" t="s">
        <v>51</v>
      </c>
      <c r="C8">
        <v>39</v>
      </c>
      <c r="D8">
        <v>44</v>
      </c>
      <c r="E8">
        <v>10</v>
      </c>
      <c r="F8">
        <v>6</v>
      </c>
      <c r="G8">
        <f t="shared" si="0"/>
        <v>99</v>
      </c>
    </row>
    <row r="9" spans="1:7" x14ac:dyDescent="0.25">
      <c r="A9" t="s">
        <v>33</v>
      </c>
      <c r="B9" t="s">
        <v>51</v>
      </c>
      <c r="C9">
        <v>39</v>
      </c>
      <c r="D9">
        <v>45</v>
      </c>
      <c r="E9">
        <v>11</v>
      </c>
      <c r="F9">
        <v>6</v>
      </c>
      <c r="G9">
        <f t="shared" si="0"/>
        <v>101</v>
      </c>
    </row>
    <row r="10" spans="1:7" x14ac:dyDescent="0.25">
      <c r="A10" t="s">
        <v>34</v>
      </c>
      <c r="B10" t="s">
        <v>54</v>
      </c>
      <c r="C10">
        <v>35</v>
      </c>
      <c r="D10">
        <v>36</v>
      </c>
      <c r="E10">
        <v>7.5</v>
      </c>
      <c r="F10">
        <v>6</v>
      </c>
      <c r="G10">
        <f t="shared" si="0"/>
        <v>84.5</v>
      </c>
    </row>
    <row r="11" spans="1:7" x14ac:dyDescent="0.25">
      <c r="A11" t="s">
        <v>35</v>
      </c>
      <c r="B11" t="s">
        <v>53</v>
      </c>
      <c r="C11">
        <v>29</v>
      </c>
      <c r="D11">
        <v>41</v>
      </c>
      <c r="E11">
        <v>9.5</v>
      </c>
      <c r="F11">
        <v>6</v>
      </c>
      <c r="G11">
        <f t="shared" si="0"/>
        <v>85.5</v>
      </c>
    </row>
    <row r="12" spans="1:7" x14ac:dyDescent="0.25">
      <c r="A12" t="s">
        <v>36</v>
      </c>
      <c r="B12" t="s">
        <v>54</v>
      </c>
      <c r="C12">
        <v>37</v>
      </c>
      <c r="D12">
        <v>41</v>
      </c>
      <c r="E12">
        <v>10</v>
      </c>
      <c r="G12">
        <f t="shared" si="0"/>
        <v>88</v>
      </c>
    </row>
    <row r="13" spans="1:7" x14ac:dyDescent="0.25">
      <c r="A13" t="s">
        <v>15</v>
      </c>
      <c r="B13" t="s">
        <v>51</v>
      </c>
      <c r="C13">
        <v>39</v>
      </c>
      <c r="D13">
        <v>43</v>
      </c>
      <c r="E13">
        <v>7.5</v>
      </c>
      <c r="F13">
        <v>5.5</v>
      </c>
      <c r="G13">
        <f t="shared" si="0"/>
        <v>95</v>
      </c>
    </row>
    <row r="14" spans="1:7" x14ac:dyDescent="0.25">
      <c r="A14" t="s">
        <v>37</v>
      </c>
      <c r="B14" t="s">
        <v>52</v>
      </c>
      <c r="C14">
        <v>34</v>
      </c>
      <c r="D14">
        <v>40</v>
      </c>
      <c r="E14">
        <v>11</v>
      </c>
      <c r="F14">
        <v>6</v>
      </c>
      <c r="G14">
        <f t="shared" si="0"/>
        <v>91</v>
      </c>
    </row>
    <row r="15" spans="1:7" x14ac:dyDescent="0.25">
      <c r="A15" t="s">
        <v>48</v>
      </c>
      <c r="B15" t="s">
        <v>52</v>
      </c>
      <c r="C15">
        <v>28.5</v>
      </c>
      <c r="D15">
        <v>38.5</v>
      </c>
      <c r="E15">
        <v>9</v>
      </c>
      <c r="F15">
        <v>6</v>
      </c>
      <c r="G15">
        <f t="shared" si="0"/>
        <v>82</v>
      </c>
    </row>
    <row r="16" spans="1:7" x14ac:dyDescent="0.25">
      <c r="A16" t="s">
        <v>38</v>
      </c>
      <c r="B16" t="s">
        <v>54</v>
      </c>
      <c r="C16">
        <v>36</v>
      </c>
      <c r="D16">
        <v>45</v>
      </c>
      <c r="E16">
        <v>11</v>
      </c>
      <c r="F16">
        <v>3</v>
      </c>
      <c r="G16">
        <f t="shared" si="0"/>
        <v>95</v>
      </c>
    </row>
    <row r="17" spans="1:7" x14ac:dyDescent="0.25">
      <c r="A17" t="s">
        <v>39</v>
      </c>
      <c r="B17" t="s">
        <v>53</v>
      </c>
      <c r="C17">
        <v>37</v>
      </c>
      <c r="D17">
        <v>39</v>
      </c>
      <c r="E17">
        <v>9</v>
      </c>
      <c r="F17">
        <v>6</v>
      </c>
      <c r="G17">
        <f t="shared" si="0"/>
        <v>91</v>
      </c>
    </row>
    <row r="18" spans="1:7" x14ac:dyDescent="0.25">
      <c r="A18" t="s">
        <v>40</v>
      </c>
      <c r="B18" t="s">
        <v>51</v>
      </c>
      <c r="C18">
        <v>39</v>
      </c>
      <c r="D18">
        <v>37.5</v>
      </c>
      <c r="E18">
        <v>10</v>
      </c>
      <c r="F18">
        <v>5.5</v>
      </c>
      <c r="G18">
        <f t="shared" si="0"/>
        <v>92</v>
      </c>
    </row>
    <row r="19" spans="1:7" x14ac:dyDescent="0.25">
      <c r="A19" t="s">
        <v>41</v>
      </c>
      <c r="B19" t="s">
        <v>53</v>
      </c>
      <c r="C19">
        <v>26</v>
      </c>
      <c r="D19">
        <v>38</v>
      </c>
      <c r="E19">
        <v>9</v>
      </c>
      <c r="F19">
        <v>5.5</v>
      </c>
      <c r="G19">
        <f t="shared" si="0"/>
        <v>78.5</v>
      </c>
    </row>
    <row r="20" spans="1:7" x14ac:dyDescent="0.25">
      <c r="A20" t="s">
        <v>42</v>
      </c>
      <c r="B20" t="s">
        <v>53</v>
      </c>
      <c r="C20">
        <v>39</v>
      </c>
      <c r="D20">
        <v>39</v>
      </c>
      <c r="E20">
        <v>10</v>
      </c>
      <c r="F20">
        <v>5</v>
      </c>
      <c r="G20">
        <f t="shared" si="0"/>
        <v>93</v>
      </c>
    </row>
    <row r="21" spans="1:7" x14ac:dyDescent="0.25">
      <c r="A21" t="s">
        <v>43</v>
      </c>
      <c r="B21" t="s">
        <v>51</v>
      </c>
      <c r="C21" s="8">
        <v>28</v>
      </c>
      <c r="D21">
        <v>38</v>
      </c>
      <c r="E21">
        <v>11</v>
      </c>
      <c r="F21">
        <v>6</v>
      </c>
      <c r="G21">
        <f t="shared" si="0"/>
        <v>83</v>
      </c>
    </row>
    <row r="22" spans="1:7" x14ac:dyDescent="0.25">
      <c r="A22" t="s">
        <v>44</v>
      </c>
      <c r="B22" t="s">
        <v>54</v>
      </c>
      <c r="C22">
        <v>35</v>
      </c>
      <c r="D22">
        <v>38.5</v>
      </c>
      <c r="E22">
        <v>10</v>
      </c>
      <c r="F22">
        <v>5</v>
      </c>
      <c r="G22">
        <f t="shared" si="0"/>
        <v>88.5</v>
      </c>
    </row>
    <row r="23" spans="1:7" x14ac:dyDescent="0.25">
      <c r="A23" t="s">
        <v>45</v>
      </c>
      <c r="B23" t="s">
        <v>51</v>
      </c>
      <c r="C23">
        <v>39</v>
      </c>
      <c r="D23">
        <v>37</v>
      </c>
      <c r="E23">
        <v>9</v>
      </c>
      <c r="F23">
        <v>5.5</v>
      </c>
      <c r="G23">
        <f t="shared" si="0"/>
        <v>90.5</v>
      </c>
    </row>
    <row r="26" spans="1:7" ht="15.75" thickBot="1" x14ac:dyDescent="0.3">
      <c r="A26" s="34" t="s">
        <v>133</v>
      </c>
      <c r="B26" s="34"/>
      <c r="D26" s="2" t="s">
        <v>131</v>
      </c>
      <c r="E26" s="3" t="s">
        <v>132</v>
      </c>
    </row>
    <row r="27" spans="1:7" x14ac:dyDescent="0.25">
      <c r="A27" t="s">
        <v>116</v>
      </c>
      <c r="B27" s="5">
        <f>AVERAGE(G2:G23)</f>
        <v>90.204545454545453</v>
      </c>
      <c r="D27" t="s">
        <v>127</v>
      </c>
      <c r="E27" s="4">
        <f>COUNTIF(G2:G23,"&lt;80")</f>
        <v>1</v>
      </c>
    </row>
    <row r="28" spans="1:7" x14ac:dyDescent="0.25">
      <c r="A28" t="s">
        <v>117</v>
      </c>
      <c r="B28">
        <f>MEDIAN(G2:G23)</f>
        <v>91</v>
      </c>
      <c r="D28" t="s">
        <v>128</v>
      </c>
      <c r="E28" s="4">
        <f>COUNTIF(G2:G23,"&lt;90")-E27</f>
        <v>8</v>
      </c>
    </row>
    <row r="29" spans="1:7" x14ac:dyDescent="0.25">
      <c r="A29" t="s">
        <v>118</v>
      </c>
      <c r="B29">
        <f>MODE(G2:G23)</f>
        <v>85.5</v>
      </c>
      <c r="D29" t="s">
        <v>129</v>
      </c>
      <c r="E29" s="4">
        <f>COUNTIF(G2:G23,"&lt;100")-E28-E27</f>
        <v>12</v>
      </c>
    </row>
    <row r="30" spans="1:7" x14ac:dyDescent="0.25">
      <c r="A30" t="s">
        <v>119</v>
      </c>
      <c r="B30">
        <f>(B38+B39)/2</f>
        <v>89.75</v>
      </c>
      <c r="D30" s="6" t="s">
        <v>130</v>
      </c>
      <c r="E30" s="7">
        <f>COUNTIF(G2:G23,"&lt;110")-E29-E28-E27</f>
        <v>1</v>
      </c>
    </row>
    <row r="31" spans="1:7" x14ac:dyDescent="0.25">
      <c r="E31">
        <f>SUM(E27:E30)</f>
        <v>22</v>
      </c>
    </row>
    <row r="32" spans="1:7" ht="15.75" thickBot="1" x14ac:dyDescent="0.3">
      <c r="A32" s="34" t="s">
        <v>134</v>
      </c>
      <c r="B32" s="34"/>
    </row>
    <row r="33" spans="1:2" x14ac:dyDescent="0.25">
      <c r="A33" t="s">
        <v>120</v>
      </c>
      <c r="B33" s="5">
        <f>STDEV(G2:G23)</f>
        <v>5.4960139038369276</v>
      </c>
    </row>
    <row r="34" spans="1:2" x14ac:dyDescent="0.25">
      <c r="A34" t="s">
        <v>121</v>
      </c>
      <c r="B34">
        <f>B39-B38</f>
        <v>22.5</v>
      </c>
    </row>
    <row r="35" spans="1:2" x14ac:dyDescent="0.25">
      <c r="A35" t="s">
        <v>122</v>
      </c>
      <c r="B35">
        <f>QUARTILE(G2:G23,1)</f>
        <v>86.125</v>
      </c>
    </row>
    <row r="36" spans="1:2" x14ac:dyDescent="0.25">
      <c r="A36" t="s">
        <v>123</v>
      </c>
      <c r="B36">
        <f>QUARTILE(G2:G23,3)</f>
        <v>93.75</v>
      </c>
    </row>
    <row r="37" spans="1:2" x14ac:dyDescent="0.25">
      <c r="A37" t="s">
        <v>126</v>
      </c>
      <c r="B37">
        <f>B36-B35</f>
        <v>7.625</v>
      </c>
    </row>
    <row r="38" spans="1:2" x14ac:dyDescent="0.25">
      <c r="A38" t="s">
        <v>124</v>
      </c>
      <c r="B38">
        <f>MIN(G2:G23)</f>
        <v>78.5</v>
      </c>
    </row>
    <row r="39" spans="1:2" x14ac:dyDescent="0.25">
      <c r="A39" t="s">
        <v>125</v>
      </c>
      <c r="B39">
        <f>MAX(G2:G23)</f>
        <v>101</v>
      </c>
    </row>
  </sheetData>
  <mergeCells count="2">
    <mergeCell ref="A26:B26"/>
    <mergeCell ref="A32:B32"/>
  </mergeCells>
  <pageMargins left="0.7" right="0.7" top="0.75" bottom="0.75" header="0.3" footer="0.3"/>
  <pageSetup scale="1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x14ac:dyDescent="0.25"/>
  <sheetData>
    <row r="1" spans="1:11" x14ac:dyDescent="0.25">
      <c r="A1" t="s">
        <v>50</v>
      </c>
      <c r="B1" s="27" t="s">
        <v>101</v>
      </c>
      <c r="C1" s="27"/>
      <c r="D1" s="27"/>
      <c r="E1" t="s">
        <v>82</v>
      </c>
      <c r="F1" s="9" t="s">
        <v>102</v>
      </c>
      <c r="G1" s="9" t="s">
        <v>103</v>
      </c>
      <c r="H1" s="9" t="s">
        <v>104</v>
      </c>
      <c r="I1" s="9" t="s">
        <v>105</v>
      </c>
      <c r="J1" s="9" t="s">
        <v>106</v>
      </c>
      <c r="K1" s="9" t="s">
        <v>107</v>
      </c>
    </row>
    <row r="2" spans="1:11" x14ac:dyDescent="0.25">
      <c r="A2" t="s">
        <v>51</v>
      </c>
      <c r="B2" t="s">
        <v>59</v>
      </c>
      <c r="C2" t="s">
        <v>60</v>
      </c>
      <c r="D2" t="s">
        <v>61</v>
      </c>
      <c r="E2" t="s">
        <v>83</v>
      </c>
      <c r="F2" s="9">
        <v>25</v>
      </c>
      <c r="G2" s="9">
        <v>20</v>
      </c>
      <c r="H2" s="9">
        <v>15</v>
      </c>
      <c r="I2" s="9">
        <v>10</v>
      </c>
      <c r="J2" s="9">
        <v>25</v>
      </c>
      <c r="K2" s="9">
        <f>SUM(F2:J2)</f>
        <v>95</v>
      </c>
    </row>
    <row r="3" spans="1:11" x14ac:dyDescent="0.25">
      <c r="A3" t="s">
        <v>52</v>
      </c>
      <c r="B3" t="s">
        <v>62</v>
      </c>
      <c r="C3" t="s">
        <v>63</v>
      </c>
      <c r="D3" t="s">
        <v>64</v>
      </c>
      <c r="E3" t="s">
        <v>84</v>
      </c>
      <c r="F3" s="9">
        <v>17</v>
      </c>
      <c r="G3" s="9">
        <v>20</v>
      </c>
      <c r="H3" s="9">
        <v>12</v>
      </c>
      <c r="I3" s="9">
        <v>8</v>
      </c>
      <c r="J3" s="9">
        <v>21</v>
      </c>
      <c r="K3" s="9">
        <f t="shared" ref="K3:K10" si="0">SUM(F3:J3)</f>
        <v>78</v>
      </c>
    </row>
    <row r="4" spans="1:11" x14ac:dyDescent="0.25">
      <c r="A4" t="s">
        <v>53</v>
      </c>
      <c r="B4" t="s">
        <v>65</v>
      </c>
      <c r="C4" t="s">
        <v>66</v>
      </c>
      <c r="E4" t="s">
        <v>85</v>
      </c>
      <c r="F4" s="9">
        <v>25</v>
      </c>
      <c r="G4" s="9">
        <v>25</v>
      </c>
      <c r="H4" s="9">
        <v>13</v>
      </c>
      <c r="I4" s="9">
        <v>8</v>
      </c>
      <c r="J4" s="9">
        <v>25</v>
      </c>
      <c r="K4" s="9">
        <f t="shared" si="0"/>
        <v>96</v>
      </c>
    </row>
    <row r="5" spans="1:11" x14ac:dyDescent="0.25">
      <c r="A5" t="s">
        <v>54</v>
      </c>
      <c r="B5" t="s">
        <v>67</v>
      </c>
      <c r="C5" t="s">
        <v>68</v>
      </c>
      <c r="D5" t="s">
        <v>69</v>
      </c>
      <c r="E5" t="s">
        <v>86</v>
      </c>
      <c r="F5" s="9">
        <v>25</v>
      </c>
      <c r="G5" s="9">
        <v>20</v>
      </c>
      <c r="H5" s="9">
        <v>13</v>
      </c>
      <c r="I5" s="9">
        <v>8</v>
      </c>
      <c r="J5" s="9">
        <v>22</v>
      </c>
      <c r="K5" s="9">
        <f t="shared" si="0"/>
        <v>88</v>
      </c>
    </row>
    <row r="6" spans="1:11" x14ac:dyDescent="0.25">
      <c r="A6" t="s">
        <v>55</v>
      </c>
      <c r="B6" t="s">
        <v>70</v>
      </c>
      <c r="C6" t="s">
        <v>71</v>
      </c>
      <c r="D6" t="s">
        <v>72</v>
      </c>
      <c r="E6" t="s">
        <v>87</v>
      </c>
      <c r="F6" s="9">
        <v>25</v>
      </c>
      <c r="G6" s="9">
        <v>20</v>
      </c>
      <c r="H6" s="9">
        <v>15</v>
      </c>
      <c r="I6" s="9">
        <v>10</v>
      </c>
      <c r="J6" s="9">
        <v>25</v>
      </c>
      <c r="K6" s="9">
        <f t="shared" si="0"/>
        <v>95</v>
      </c>
    </row>
    <row r="7" spans="1:11" x14ac:dyDescent="0.25">
      <c r="A7" t="s">
        <v>56</v>
      </c>
      <c r="B7" t="s">
        <v>73</v>
      </c>
      <c r="C7" t="s">
        <v>74</v>
      </c>
      <c r="E7" t="s">
        <v>88</v>
      </c>
      <c r="F7" s="9">
        <v>21</v>
      </c>
      <c r="G7" s="9">
        <v>20</v>
      </c>
      <c r="H7" s="9">
        <v>15</v>
      </c>
      <c r="I7" s="9">
        <v>12</v>
      </c>
      <c r="J7" s="9">
        <v>21</v>
      </c>
      <c r="K7" s="9">
        <f t="shared" si="0"/>
        <v>89</v>
      </c>
    </row>
    <row r="8" spans="1:11" x14ac:dyDescent="0.25">
      <c r="A8" t="s">
        <v>75</v>
      </c>
      <c r="B8" t="s">
        <v>76</v>
      </c>
      <c r="C8" t="s">
        <v>77</v>
      </c>
      <c r="E8" t="s">
        <v>89</v>
      </c>
      <c r="F8" s="9">
        <v>17</v>
      </c>
      <c r="G8" s="9">
        <v>20</v>
      </c>
      <c r="H8" s="9">
        <v>14</v>
      </c>
      <c r="I8" s="9">
        <v>9</v>
      </c>
      <c r="J8" s="9">
        <v>25</v>
      </c>
      <c r="K8" s="9">
        <f t="shared" si="0"/>
        <v>85</v>
      </c>
    </row>
    <row r="9" spans="1:11" x14ac:dyDescent="0.25">
      <c r="A9" t="s">
        <v>57</v>
      </c>
      <c r="B9" t="s">
        <v>78</v>
      </c>
      <c r="C9" t="s">
        <v>79</v>
      </c>
      <c r="E9" t="s">
        <v>90</v>
      </c>
      <c r="F9" s="9">
        <v>21</v>
      </c>
      <c r="G9" s="9">
        <v>25</v>
      </c>
      <c r="H9" s="9">
        <v>14</v>
      </c>
      <c r="I9" s="9">
        <v>9</v>
      </c>
      <c r="J9" s="9">
        <v>25</v>
      </c>
      <c r="K9" s="9">
        <f t="shared" si="0"/>
        <v>94</v>
      </c>
    </row>
    <row r="10" spans="1:11" x14ac:dyDescent="0.25">
      <c r="A10" t="s">
        <v>58</v>
      </c>
      <c r="B10" t="s">
        <v>80</v>
      </c>
      <c r="C10" t="s">
        <v>81</v>
      </c>
      <c r="E10" t="s">
        <v>91</v>
      </c>
      <c r="F10" s="9">
        <v>17</v>
      </c>
      <c r="G10" s="9">
        <v>20</v>
      </c>
      <c r="H10" s="9">
        <v>14</v>
      </c>
      <c r="I10" s="9">
        <v>11</v>
      </c>
      <c r="J10" s="9">
        <v>25</v>
      </c>
      <c r="K10" s="9">
        <f t="shared" si="0"/>
        <v>87</v>
      </c>
    </row>
  </sheetData>
  <mergeCells count="1"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>
      <selection activeCell="L2" sqref="L2:L10"/>
    </sheetView>
  </sheetViews>
  <sheetFormatPr defaultRowHeight="15" x14ac:dyDescent="0.25"/>
  <cols>
    <col min="2" max="2" width="11.140625" bestFit="1" customWidth="1"/>
    <col min="3" max="3" width="11.42578125" bestFit="1" customWidth="1"/>
    <col min="4" max="4" width="10.7109375" bestFit="1" customWidth="1"/>
  </cols>
  <sheetData>
    <row r="1" spans="1:12" x14ac:dyDescent="0.25">
      <c r="A1" s="1" t="s">
        <v>50</v>
      </c>
      <c r="B1" s="35" t="s">
        <v>101</v>
      </c>
      <c r="C1" s="35"/>
      <c r="D1" s="35"/>
      <c r="E1" s="10" t="s">
        <v>104</v>
      </c>
      <c r="F1" s="10" t="s">
        <v>105</v>
      </c>
      <c r="G1" s="10" t="s">
        <v>135</v>
      </c>
      <c r="H1" s="10" t="s">
        <v>136</v>
      </c>
      <c r="I1" s="10" t="s">
        <v>137</v>
      </c>
      <c r="J1" s="10" t="s">
        <v>138</v>
      </c>
      <c r="K1" s="10" t="s">
        <v>106</v>
      </c>
      <c r="L1" s="10" t="s">
        <v>107</v>
      </c>
    </row>
    <row r="2" spans="1:12" x14ac:dyDescent="0.25">
      <c r="A2" s="1" t="s">
        <v>51</v>
      </c>
      <c r="B2" s="1" t="s">
        <v>59</v>
      </c>
      <c r="C2" s="1" t="s">
        <v>60</v>
      </c>
      <c r="D2" s="1" t="s">
        <v>61</v>
      </c>
      <c r="E2" s="10">
        <v>15</v>
      </c>
      <c r="F2" s="10">
        <v>15</v>
      </c>
      <c r="G2" s="10">
        <v>11</v>
      </c>
      <c r="H2" s="10">
        <v>10</v>
      </c>
      <c r="I2" s="10">
        <v>10</v>
      </c>
      <c r="J2" s="10">
        <v>20</v>
      </c>
      <c r="K2" s="10">
        <v>22</v>
      </c>
      <c r="L2" s="10">
        <f t="shared" ref="L2:L10" si="0">SUM(E2:K2)</f>
        <v>103</v>
      </c>
    </row>
    <row r="3" spans="1:12" x14ac:dyDescent="0.25">
      <c r="A3" s="1" t="s">
        <v>52</v>
      </c>
      <c r="B3" s="1" t="s">
        <v>62</v>
      </c>
      <c r="C3" s="1" t="s">
        <v>63</v>
      </c>
      <c r="D3" s="1" t="s">
        <v>64</v>
      </c>
      <c r="E3" s="10">
        <v>15</v>
      </c>
      <c r="F3" s="10">
        <v>15</v>
      </c>
      <c r="G3" s="10">
        <v>8</v>
      </c>
      <c r="H3" s="10">
        <v>10</v>
      </c>
      <c r="I3" s="10">
        <v>11</v>
      </c>
      <c r="J3" s="10">
        <v>20</v>
      </c>
      <c r="K3" s="10">
        <v>18</v>
      </c>
      <c r="L3" s="10">
        <f t="shared" si="0"/>
        <v>97</v>
      </c>
    </row>
    <row r="4" spans="1:12" x14ac:dyDescent="0.25">
      <c r="A4" s="1" t="s">
        <v>53</v>
      </c>
      <c r="B4" s="1" t="s">
        <v>65</v>
      </c>
      <c r="C4" s="1" t="s">
        <v>66</v>
      </c>
      <c r="D4" s="1"/>
      <c r="E4" s="10">
        <v>13</v>
      </c>
      <c r="F4" s="10">
        <v>13</v>
      </c>
      <c r="G4" s="10">
        <v>8</v>
      </c>
      <c r="H4" s="10">
        <v>10</v>
      </c>
      <c r="I4" s="10">
        <v>10</v>
      </c>
      <c r="J4" s="10">
        <v>20</v>
      </c>
      <c r="K4" s="10">
        <v>20</v>
      </c>
      <c r="L4" s="10">
        <f t="shared" si="0"/>
        <v>94</v>
      </c>
    </row>
    <row r="5" spans="1:12" x14ac:dyDescent="0.25">
      <c r="A5" s="1" t="s">
        <v>54</v>
      </c>
      <c r="B5" s="1" t="s">
        <v>67</v>
      </c>
      <c r="C5" s="1" t="s">
        <v>68</v>
      </c>
      <c r="D5" s="1" t="s">
        <v>69</v>
      </c>
      <c r="E5" s="10">
        <v>15</v>
      </c>
      <c r="F5" s="10">
        <v>15</v>
      </c>
      <c r="G5" s="10">
        <v>11</v>
      </c>
      <c r="H5" s="10">
        <v>10</v>
      </c>
      <c r="I5" s="10">
        <v>11</v>
      </c>
      <c r="J5" s="10">
        <v>20</v>
      </c>
      <c r="K5" s="10">
        <v>20</v>
      </c>
      <c r="L5" s="10">
        <f t="shared" si="0"/>
        <v>102</v>
      </c>
    </row>
    <row r="6" spans="1:12" x14ac:dyDescent="0.25">
      <c r="A6" s="1" t="s">
        <v>55</v>
      </c>
      <c r="B6" s="1" t="s">
        <v>70</v>
      </c>
      <c r="C6" s="1" t="s">
        <v>71</v>
      </c>
      <c r="D6" s="1" t="s">
        <v>72</v>
      </c>
      <c r="E6" s="10">
        <v>14</v>
      </c>
      <c r="F6" s="10">
        <v>13</v>
      </c>
      <c r="G6" s="10">
        <v>10</v>
      </c>
      <c r="H6" s="10">
        <v>7</v>
      </c>
      <c r="I6" s="10">
        <v>11</v>
      </c>
      <c r="J6" s="10">
        <v>10</v>
      </c>
      <c r="K6" s="10">
        <v>22</v>
      </c>
      <c r="L6" s="10">
        <f t="shared" si="0"/>
        <v>87</v>
      </c>
    </row>
    <row r="7" spans="1:12" x14ac:dyDescent="0.25">
      <c r="A7" s="1" t="s">
        <v>56</v>
      </c>
      <c r="B7" s="1" t="s">
        <v>73</v>
      </c>
      <c r="C7" s="1" t="s">
        <v>74</v>
      </c>
      <c r="D7" s="1"/>
      <c r="E7" s="10">
        <v>15</v>
      </c>
      <c r="F7" s="10">
        <v>13</v>
      </c>
      <c r="G7" s="10">
        <v>10</v>
      </c>
      <c r="H7" s="10">
        <v>11</v>
      </c>
      <c r="I7" s="10">
        <v>11</v>
      </c>
      <c r="J7" s="10">
        <v>18</v>
      </c>
      <c r="K7" s="10">
        <v>20</v>
      </c>
      <c r="L7" s="10">
        <f t="shared" si="0"/>
        <v>98</v>
      </c>
    </row>
    <row r="8" spans="1:12" x14ac:dyDescent="0.25">
      <c r="A8" s="1" t="s">
        <v>75</v>
      </c>
      <c r="B8" s="1" t="s">
        <v>76</v>
      </c>
      <c r="C8" s="1" t="s">
        <v>77</v>
      </c>
      <c r="D8" s="1"/>
      <c r="E8" s="10">
        <v>15</v>
      </c>
      <c r="F8" s="10">
        <v>15</v>
      </c>
      <c r="G8" s="10">
        <v>7</v>
      </c>
      <c r="H8" s="10">
        <v>4</v>
      </c>
      <c r="I8" s="10">
        <v>4</v>
      </c>
      <c r="J8" s="10">
        <v>8</v>
      </c>
      <c r="K8" s="10">
        <v>8</v>
      </c>
      <c r="L8" s="10">
        <f t="shared" si="0"/>
        <v>61</v>
      </c>
    </row>
    <row r="9" spans="1:12" x14ac:dyDescent="0.25">
      <c r="A9" s="1" t="s">
        <v>57</v>
      </c>
      <c r="B9" s="1" t="s">
        <v>78</v>
      </c>
      <c r="C9" s="1" t="s">
        <v>79</v>
      </c>
      <c r="D9" s="1"/>
      <c r="E9" s="10">
        <v>15</v>
      </c>
      <c r="F9" s="10">
        <v>15</v>
      </c>
      <c r="G9" s="10">
        <v>6</v>
      </c>
      <c r="H9" s="10">
        <v>2</v>
      </c>
      <c r="I9" s="10">
        <v>8</v>
      </c>
      <c r="J9" s="10">
        <v>8</v>
      </c>
      <c r="K9" s="10">
        <v>20</v>
      </c>
      <c r="L9" s="10">
        <f t="shared" si="0"/>
        <v>74</v>
      </c>
    </row>
    <row r="10" spans="1:12" x14ac:dyDescent="0.25">
      <c r="A10" s="1" t="s">
        <v>58</v>
      </c>
      <c r="B10" s="1" t="s">
        <v>80</v>
      </c>
      <c r="C10" s="1" t="s">
        <v>81</v>
      </c>
      <c r="D10" s="1"/>
      <c r="E10" s="10">
        <v>14</v>
      </c>
      <c r="F10" s="10">
        <v>13</v>
      </c>
      <c r="G10" s="10">
        <v>8</v>
      </c>
      <c r="H10" s="10">
        <v>10</v>
      </c>
      <c r="I10" s="10">
        <v>10</v>
      </c>
      <c r="J10" s="10">
        <v>10</v>
      </c>
      <c r="K10" s="10">
        <v>22</v>
      </c>
      <c r="L10" s="10">
        <f t="shared" si="0"/>
        <v>87</v>
      </c>
    </row>
  </sheetData>
  <mergeCells count="1">
    <mergeCell ref="B1:D1"/>
  </mergeCells>
  <pageMargins left="0.7" right="0.7" top="0.75" bottom="0.75" header="0.3" footer="0.3"/>
  <pageSetup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D12" sqref="D12"/>
    </sheetView>
  </sheetViews>
  <sheetFormatPr defaultRowHeight="15" x14ac:dyDescent="0.25"/>
  <cols>
    <col min="2" max="4" width="11.7109375" customWidth="1"/>
  </cols>
  <sheetData>
    <row r="1" spans="1:10" x14ac:dyDescent="0.25">
      <c r="A1" s="1"/>
      <c r="B1" s="1"/>
      <c r="C1" s="1"/>
      <c r="D1" s="1"/>
      <c r="E1" s="36" t="s">
        <v>176</v>
      </c>
      <c r="F1" s="36" t="s">
        <v>177</v>
      </c>
      <c r="G1" s="37" t="s">
        <v>178</v>
      </c>
      <c r="H1" s="37" t="s">
        <v>179</v>
      </c>
      <c r="I1" s="1" t="s">
        <v>180</v>
      </c>
      <c r="J1" s="1" t="s">
        <v>181</v>
      </c>
    </row>
    <row r="2" spans="1:10" x14ac:dyDescent="0.25">
      <c r="A2" s="1" t="s">
        <v>51</v>
      </c>
      <c r="B2" s="1" t="s">
        <v>59</v>
      </c>
      <c r="C2" s="1" t="s">
        <v>60</v>
      </c>
      <c r="D2" s="1" t="s">
        <v>61</v>
      </c>
      <c r="E2" s="26"/>
      <c r="F2" s="26"/>
      <c r="G2" s="1"/>
      <c r="H2" s="1"/>
      <c r="I2" s="1"/>
      <c r="J2" s="1"/>
    </row>
    <row r="3" spans="1:10" x14ac:dyDescent="0.25">
      <c r="A3" s="1" t="s">
        <v>52</v>
      </c>
      <c r="B3" s="1" t="s">
        <v>62</v>
      </c>
      <c r="C3" s="1" t="s">
        <v>63</v>
      </c>
      <c r="D3" s="1" t="s">
        <v>64</v>
      </c>
      <c r="E3" s="26"/>
      <c r="F3" s="26"/>
      <c r="G3" s="1"/>
      <c r="H3" s="1"/>
      <c r="I3" s="1"/>
      <c r="J3" s="1"/>
    </row>
    <row r="4" spans="1:10" x14ac:dyDescent="0.25">
      <c r="A4" s="1" t="s">
        <v>53</v>
      </c>
      <c r="B4" s="1" t="s">
        <v>65</v>
      </c>
      <c r="C4" s="1" t="s">
        <v>66</v>
      </c>
      <c r="D4" s="1"/>
      <c r="E4" s="26"/>
      <c r="F4" s="26"/>
      <c r="G4" s="1"/>
      <c r="H4" s="1"/>
      <c r="I4" s="1"/>
      <c r="J4" s="1"/>
    </row>
    <row r="5" spans="1:10" x14ac:dyDescent="0.25">
      <c r="A5" s="1" t="s">
        <v>54</v>
      </c>
      <c r="B5" s="1" t="s">
        <v>67</v>
      </c>
      <c r="C5" s="1" t="s">
        <v>68</v>
      </c>
      <c r="D5" s="1" t="s">
        <v>69</v>
      </c>
      <c r="E5" s="26"/>
      <c r="F5" s="26"/>
      <c r="G5" s="1"/>
      <c r="H5" s="1"/>
      <c r="I5" s="1"/>
      <c r="J5" s="1"/>
    </row>
    <row r="6" spans="1:10" x14ac:dyDescent="0.25">
      <c r="A6" s="1" t="s">
        <v>55</v>
      </c>
      <c r="B6" s="1" t="s">
        <v>70</v>
      </c>
      <c r="C6" s="1" t="s">
        <v>71</v>
      </c>
      <c r="D6" s="1" t="s">
        <v>72</v>
      </c>
      <c r="E6" s="26"/>
      <c r="F6" s="26"/>
      <c r="G6" s="1"/>
      <c r="H6" s="1"/>
      <c r="I6" s="1"/>
      <c r="J6" s="1"/>
    </row>
    <row r="7" spans="1:10" x14ac:dyDescent="0.25">
      <c r="A7" s="1" t="s">
        <v>56</v>
      </c>
      <c r="B7" s="1" t="s">
        <v>73</v>
      </c>
      <c r="C7" s="1" t="s">
        <v>74</v>
      </c>
      <c r="D7" s="1"/>
      <c r="E7" s="26"/>
      <c r="F7" s="26"/>
      <c r="G7" s="1"/>
      <c r="H7" s="1"/>
      <c r="I7" s="1"/>
      <c r="J7" s="1"/>
    </row>
    <row r="8" spans="1:10" x14ac:dyDescent="0.25">
      <c r="A8" s="1" t="s">
        <v>75</v>
      </c>
      <c r="B8" s="1" t="s">
        <v>76</v>
      </c>
      <c r="C8" s="1" t="s">
        <v>77</v>
      </c>
      <c r="D8" s="1"/>
      <c r="E8" s="26"/>
      <c r="F8" s="26"/>
      <c r="G8" s="1"/>
      <c r="H8" s="1"/>
      <c r="I8" s="1"/>
      <c r="J8" s="1"/>
    </row>
    <row r="9" spans="1:10" x14ac:dyDescent="0.25">
      <c r="A9" s="1" t="s">
        <v>57</v>
      </c>
      <c r="B9" s="1" t="s">
        <v>78</v>
      </c>
      <c r="C9" s="1" t="s">
        <v>79</v>
      </c>
      <c r="D9" s="1"/>
      <c r="E9" s="26"/>
      <c r="F9" s="26"/>
      <c r="G9" s="1"/>
      <c r="H9" s="1"/>
      <c r="I9" s="1"/>
      <c r="J9" s="1"/>
    </row>
    <row r="10" spans="1:10" x14ac:dyDescent="0.25">
      <c r="A10" s="1" t="s">
        <v>58</v>
      </c>
      <c r="B10" s="1" t="s">
        <v>80</v>
      </c>
      <c r="C10" s="1" t="s">
        <v>81</v>
      </c>
      <c r="D10" s="1"/>
      <c r="E10" s="26"/>
      <c r="F10" s="26"/>
      <c r="G10" s="1"/>
      <c r="H10" s="1"/>
      <c r="I10" s="1"/>
      <c r="J10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Projects</vt:lpstr>
      <vt:lpstr>Project 5</vt:lpstr>
      <vt:lpstr>Project 6</vt:lpstr>
      <vt:lpstr>Mid-Term</vt:lpstr>
      <vt:lpstr>Historical</vt:lpstr>
      <vt:lpstr>Statistics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Windows User</cp:lastModifiedBy>
  <cp:lastPrinted>2011-12-13T19:53:53Z</cp:lastPrinted>
  <dcterms:created xsi:type="dcterms:W3CDTF">2011-08-25T17:30:17Z</dcterms:created>
  <dcterms:modified xsi:type="dcterms:W3CDTF">2011-12-13T21:35:09Z</dcterms:modified>
</cp:coreProperties>
</file>