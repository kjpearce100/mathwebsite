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105" windowWidth="13395" windowHeight="11055" activeTab="1"/>
  </bookViews>
  <sheets>
    <sheet name="Sheet1" sheetId="1" r:id="rId1"/>
    <sheet name="Triangle" sheetId="2" r:id="rId2"/>
    <sheet name="Quad" sheetId="4" r:id="rId3"/>
    <sheet name="Sheet3" sheetId="3" r:id="rId4"/>
  </sheets>
  <calcPr calcId="145621"/>
</workbook>
</file>

<file path=xl/calcChain.xml><?xml version="1.0" encoding="utf-8"?>
<calcChain xmlns="http://schemas.openxmlformats.org/spreadsheetml/2006/main">
  <c r="B16" i="3" l="1"/>
  <c r="B15" i="3"/>
  <c r="B14" i="3"/>
  <c r="B6" i="3"/>
  <c r="B5" i="3"/>
  <c r="B4" i="3"/>
  <c r="I31" i="2"/>
  <c r="H31" i="2"/>
  <c r="I30" i="2"/>
  <c r="H30" i="2"/>
  <c r="I29" i="2"/>
  <c r="H29" i="2"/>
  <c r="I20" i="2"/>
  <c r="H20" i="2"/>
  <c r="I19" i="2"/>
  <c r="H19" i="2"/>
  <c r="I18" i="2"/>
  <c r="H18" i="2"/>
  <c r="J18" i="2" s="1"/>
  <c r="I9" i="2"/>
  <c r="J9" i="2" s="1"/>
  <c r="H9" i="2"/>
  <c r="I8" i="2"/>
  <c r="H8" i="2"/>
  <c r="J8" i="2" s="1"/>
  <c r="I7" i="2"/>
  <c r="H7" i="2"/>
  <c r="J30" i="2" l="1"/>
  <c r="J31" i="2"/>
  <c r="J29" i="2"/>
  <c r="C15" i="3"/>
  <c r="C16" i="3"/>
  <c r="C5" i="3"/>
  <c r="C6" i="3"/>
  <c r="J20" i="2"/>
  <c r="J19" i="2"/>
  <c r="J7" i="2"/>
  <c r="C50" i="4"/>
  <c r="B50" i="4"/>
  <c r="C42" i="4" l="1"/>
  <c r="B42" i="4"/>
  <c r="C34" i="4"/>
  <c r="B34" i="4"/>
  <c r="C23" i="4"/>
  <c r="B23" i="4"/>
  <c r="C15" i="4"/>
  <c r="B15" i="4"/>
  <c r="C28" i="4"/>
  <c r="B28" i="4"/>
  <c r="C27" i="4"/>
  <c r="B27" i="4"/>
  <c r="C20" i="4"/>
  <c r="C14" i="4"/>
  <c r="B22" i="4" s="1"/>
  <c r="B14" i="4"/>
  <c r="C22" i="4" s="1"/>
  <c r="C13" i="4"/>
  <c r="B21" i="4" s="1"/>
  <c r="B13" i="4"/>
  <c r="C21" i="4" s="1"/>
  <c r="C12" i="4"/>
  <c r="B20" i="4" s="1"/>
  <c r="B31" i="4" s="1"/>
  <c r="B39" i="4" s="1"/>
  <c r="C47" i="4" s="1"/>
  <c r="B12" i="4"/>
  <c r="C31" i="2"/>
  <c r="D31" i="2" s="1"/>
  <c r="B31" i="2"/>
  <c r="C30" i="2"/>
  <c r="B30" i="2"/>
  <c r="C29" i="2"/>
  <c r="B29" i="2"/>
  <c r="D29" i="2" s="1"/>
  <c r="C9" i="2"/>
  <c r="B9" i="2"/>
  <c r="C8" i="2"/>
  <c r="B8" i="2"/>
  <c r="D8" i="2" s="1"/>
  <c r="C7" i="2"/>
  <c r="B7" i="2"/>
  <c r="C20" i="2"/>
  <c r="B20" i="2"/>
  <c r="D20" i="2" s="1"/>
  <c r="C19" i="2"/>
  <c r="B19" i="2"/>
  <c r="C18" i="2"/>
  <c r="B18" i="2"/>
  <c r="C25" i="1"/>
  <c r="B26" i="1"/>
  <c r="C26" i="1"/>
  <c r="B25" i="1"/>
  <c r="C14" i="1"/>
  <c r="B21" i="1" s="1"/>
  <c r="B14" i="1"/>
  <c r="C21" i="1" s="1"/>
  <c r="C13" i="1"/>
  <c r="B20" i="1" s="1"/>
  <c r="B13" i="1"/>
  <c r="C20" i="1" s="1"/>
  <c r="C12" i="1"/>
  <c r="B19" i="1" s="1"/>
  <c r="B12" i="1"/>
  <c r="C19" i="1" s="1"/>
  <c r="B33" i="4" l="1"/>
  <c r="B41" i="4" s="1"/>
  <c r="C49" i="4" s="1"/>
  <c r="C33" i="4"/>
  <c r="C41" i="4" s="1"/>
  <c r="B49" i="4" s="1"/>
  <c r="C31" i="4"/>
  <c r="C39" i="4" s="1"/>
  <c r="B47" i="4" s="1"/>
  <c r="B32" i="4"/>
  <c r="B40" i="4" s="1"/>
  <c r="C48" i="4" s="1"/>
  <c r="C32" i="4"/>
  <c r="C40" i="4" s="1"/>
  <c r="B48" i="4" s="1"/>
  <c r="D30" i="2"/>
  <c r="D19" i="2"/>
  <c r="D18" i="2"/>
  <c r="D9" i="2"/>
  <c r="D7" i="2"/>
  <c r="B29" i="1"/>
  <c r="B36" i="1" s="1"/>
  <c r="C43" i="1" s="1"/>
  <c r="B30" i="1"/>
  <c r="B37" i="1" s="1"/>
  <c r="C44" i="1" s="1"/>
  <c r="C30" i="1"/>
  <c r="C37" i="1" s="1"/>
  <c r="B44" i="1" s="1"/>
  <c r="B31" i="1"/>
  <c r="B38" i="1" s="1"/>
  <c r="C45" i="1" s="1"/>
  <c r="C31" i="1"/>
  <c r="C38" i="1" s="1"/>
  <c r="B45" i="1" s="1"/>
  <c r="C29" i="1"/>
  <c r="C36" i="1" s="1"/>
  <c r="B43" i="1" s="1"/>
</calcChain>
</file>

<file path=xl/sharedStrings.xml><?xml version="1.0" encoding="utf-8"?>
<sst xmlns="http://schemas.openxmlformats.org/spreadsheetml/2006/main" count="102" uniqueCount="18">
  <si>
    <t>Translate</t>
  </si>
  <si>
    <t>p1</t>
  </si>
  <si>
    <t>p2</t>
  </si>
  <si>
    <t>p3</t>
  </si>
  <si>
    <t>Reflection</t>
  </si>
  <si>
    <t>Rotate</t>
  </si>
  <si>
    <t>Scale</t>
  </si>
  <si>
    <t>d12</t>
  </si>
  <si>
    <t>d23</t>
  </si>
  <si>
    <t>d31</t>
  </si>
  <si>
    <t>Problem 4</t>
  </si>
  <si>
    <t>Problem 2</t>
  </si>
  <si>
    <t>Problem 7</t>
  </si>
  <si>
    <t>p4</t>
  </si>
  <si>
    <t>det=</t>
  </si>
  <si>
    <t>solution</t>
  </si>
  <si>
    <t>det_x=</t>
  </si>
  <si>
    <t>det_y=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</si>
</sst>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0"/>
      <color indexed="8"/>
      <name val="Tahoma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Sheet1!$B$1:$B$3</c:f>
              <c:numCache>
                <c:formatCode>General</c:formatCode>
                <c:ptCount val="3"/>
                <c:pt idx="0">
                  <c:v>0</c:v>
                </c:pt>
                <c:pt idx="1">
                  <c:v>4</c:v>
                </c:pt>
                <c:pt idx="2">
                  <c:v>0</c:v>
                </c:pt>
              </c:numCache>
            </c:numRef>
          </c:xVal>
          <c:yVal>
            <c:numRef>
              <c:f>Sheet1!$C$1:$C$3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598528"/>
        <c:axId val="64599104"/>
      </c:scatterChart>
      <c:valAx>
        <c:axId val="645985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64599104"/>
        <c:crosses val="autoZero"/>
        <c:crossBetween val="midCat"/>
      </c:valAx>
      <c:valAx>
        <c:axId val="6459910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64598528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Sheet1!$B$43:$B$45</c:f>
              <c:numCache>
                <c:formatCode>General</c:formatCode>
                <c:ptCount val="3"/>
                <c:pt idx="0">
                  <c:v>-1.9999999999999996</c:v>
                </c:pt>
                <c:pt idx="1">
                  <c:v>10</c:v>
                </c:pt>
                <c:pt idx="2">
                  <c:v>-14</c:v>
                </c:pt>
              </c:numCache>
            </c:numRef>
          </c:xVal>
          <c:yVal>
            <c:numRef>
              <c:f>Sheet1!$C$43:$C$45</c:f>
              <c:numCache>
                <c:formatCode>General</c:formatCode>
                <c:ptCount val="3"/>
                <c:pt idx="0">
                  <c:v>-11</c:v>
                </c:pt>
                <c:pt idx="1">
                  <c:v>5</c:v>
                </c:pt>
                <c:pt idx="2">
                  <c:v>-2.0000000000000009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600832"/>
        <c:axId val="64601408"/>
      </c:scatterChart>
      <c:valAx>
        <c:axId val="646008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64601408"/>
        <c:crosses val="autoZero"/>
        <c:crossBetween val="midCat"/>
      </c:valAx>
      <c:valAx>
        <c:axId val="6460140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64600832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Sheet1!$B$36:$B$38</c:f>
              <c:numCache>
                <c:formatCode>General</c:formatCode>
                <c:ptCount val="3"/>
                <c:pt idx="0">
                  <c:v>-11</c:v>
                </c:pt>
                <c:pt idx="1">
                  <c:v>5</c:v>
                </c:pt>
                <c:pt idx="2">
                  <c:v>-2.0000000000000009</c:v>
                </c:pt>
              </c:numCache>
            </c:numRef>
          </c:xVal>
          <c:yVal>
            <c:numRef>
              <c:f>Sheet1!$C$36:$C$38</c:f>
              <c:numCache>
                <c:formatCode>General</c:formatCode>
                <c:ptCount val="3"/>
                <c:pt idx="0">
                  <c:v>-1.9999999999999996</c:v>
                </c:pt>
                <c:pt idx="1">
                  <c:v>10</c:v>
                </c:pt>
                <c:pt idx="2">
                  <c:v>-14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048320"/>
        <c:axId val="103048896"/>
      </c:scatterChart>
      <c:valAx>
        <c:axId val="1030483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03048896"/>
        <c:crosses val="autoZero"/>
        <c:crossBetween val="midCat"/>
      </c:valAx>
      <c:valAx>
        <c:axId val="10304889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03048320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Quad!$B$1:$B$4</c:f>
              <c:numCache>
                <c:formatCode>General</c:formatCode>
                <c:ptCount val="4"/>
                <c:pt idx="0">
                  <c:v>0</c:v>
                </c:pt>
                <c:pt idx="1">
                  <c:v>4</c:v>
                </c:pt>
                <c:pt idx="2">
                  <c:v>0</c:v>
                </c:pt>
                <c:pt idx="3">
                  <c:v>4</c:v>
                </c:pt>
              </c:numCache>
            </c:numRef>
          </c:xVal>
          <c:yVal>
            <c:numRef>
              <c:f>Quad!$C$1:$C$4</c:f>
              <c:numCache>
                <c:formatCode>General</c:formatCode>
                <c:ptCount val="4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050624"/>
        <c:axId val="103051200"/>
      </c:scatterChart>
      <c:valAx>
        <c:axId val="1030506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03051200"/>
        <c:crosses val="autoZero"/>
        <c:crossBetween val="midCat"/>
      </c:valAx>
      <c:valAx>
        <c:axId val="10305120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03050624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Quad!$B$12:$B$15</c:f>
              <c:numCache>
                <c:formatCode>General</c:formatCode>
                <c:ptCount val="4"/>
                <c:pt idx="0">
                  <c:v>-2</c:v>
                </c:pt>
                <c:pt idx="1">
                  <c:v>2</c:v>
                </c:pt>
                <c:pt idx="2">
                  <c:v>-2</c:v>
                </c:pt>
                <c:pt idx="3">
                  <c:v>2</c:v>
                </c:pt>
              </c:numCache>
            </c:numRef>
          </c:xVal>
          <c:yVal>
            <c:numRef>
              <c:f>Quad!$C$12:$C$15</c:f>
              <c:numCache>
                <c:formatCode>General</c:formatCode>
                <c:ptCount val="4"/>
                <c:pt idx="0">
                  <c:v>-1</c:v>
                </c:pt>
                <c:pt idx="1">
                  <c:v>0</c:v>
                </c:pt>
                <c:pt idx="2">
                  <c:v>2</c:v>
                </c:pt>
                <c:pt idx="3">
                  <c:v>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052928"/>
        <c:axId val="103053504"/>
      </c:scatterChart>
      <c:valAx>
        <c:axId val="1030529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03053504"/>
        <c:crosses val="autoZero"/>
        <c:crossBetween val="midCat"/>
      </c:valAx>
      <c:valAx>
        <c:axId val="10305350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03052928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Quad!$B$20:$B$23</c:f>
              <c:numCache>
                <c:formatCode>General</c:formatCode>
                <c:ptCount val="4"/>
                <c:pt idx="0">
                  <c:v>-1</c:v>
                </c:pt>
                <c:pt idx="1">
                  <c:v>0</c:v>
                </c:pt>
                <c:pt idx="2">
                  <c:v>2</c:v>
                </c:pt>
                <c:pt idx="3">
                  <c:v>3</c:v>
                </c:pt>
              </c:numCache>
            </c:numRef>
          </c:xVal>
          <c:yVal>
            <c:numRef>
              <c:f>Quad!$C$20:$C$23</c:f>
              <c:numCache>
                <c:formatCode>General</c:formatCode>
                <c:ptCount val="4"/>
                <c:pt idx="0">
                  <c:v>-2</c:v>
                </c:pt>
                <c:pt idx="1">
                  <c:v>2</c:v>
                </c:pt>
                <c:pt idx="2">
                  <c:v>-2</c:v>
                </c:pt>
                <c:pt idx="3">
                  <c:v>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778816"/>
        <c:axId val="127779392"/>
      </c:scatterChart>
      <c:valAx>
        <c:axId val="1277788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27779392"/>
        <c:crosses val="autoZero"/>
        <c:crossBetween val="midCat"/>
      </c:valAx>
      <c:valAx>
        <c:axId val="12777939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27778816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Quad!$B$39:$B$42</c:f>
              <c:numCache>
                <c:formatCode>General</c:formatCode>
                <c:ptCount val="4"/>
                <c:pt idx="0">
                  <c:v>-11</c:v>
                </c:pt>
                <c:pt idx="1">
                  <c:v>8</c:v>
                </c:pt>
                <c:pt idx="2">
                  <c:v>-2.0000000000000009</c:v>
                </c:pt>
                <c:pt idx="3">
                  <c:v>17</c:v>
                </c:pt>
              </c:numCache>
            </c:numRef>
          </c:xVal>
          <c:yVal>
            <c:numRef>
              <c:f>Quad!$C$39:$C$42</c:f>
              <c:numCache>
                <c:formatCode>General</c:formatCode>
                <c:ptCount val="4"/>
                <c:pt idx="0">
                  <c:v>-1.9999999999999996</c:v>
                </c:pt>
                <c:pt idx="1">
                  <c:v>6</c:v>
                </c:pt>
                <c:pt idx="2">
                  <c:v>-14</c:v>
                </c:pt>
                <c:pt idx="3">
                  <c:v>-6.0000000000000018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781120"/>
        <c:axId val="127781696"/>
      </c:scatterChart>
      <c:valAx>
        <c:axId val="1277811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27781696"/>
        <c:crosses val="autoZero"/>
        <c:crossBetween val="midCat"/>
      </c:valAx>
      <c:valAx>
        <c:axId val="12778169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27781120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Quad!$B$47:$B$50</c:f>
              <c:numCache>
                <c:formatCode>General</c:formatCode>
                <c:ptCount val="4"/>
                <c:pt idx="0">
                  <c:v>-1.9999999999999996</c:v>
                </c:pt>
                <c:pt idx="1">
                  <c:v>6</c:v>
                </c:pt>
                <c:pt idx="2">
                  <c:v>-14</c:v>
                </c:pt>
                <c:pt idx="3">
                  <c:v>-6.0000000000000018</c:v>
                </c:pt>
              </c:numCache>
            </c:numRef>
          </c:xVal>
          <c:yVal>
            <c:numRef>
              <c:f>Quad!$C$47:$C$50</c:f>
              <c:numCache>
                <c:formatCode>General</c:formatCode>
                <c:ptCount val="4"/>
                <c:pt idx="0">
                  <c:v>-11</c:v>
                </c:pt>
                <c:pt idx="1">
                  <c:v>8</c:v>
                </c:pt>
                <c:pt idx="2">
                  <c:v>-2.0000000000000009</c:v>
                </c:pt>
                <c:pt idx="3">
                  <c:v>17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783424"/>
        <c:axId val="127784000"/>
      </c:scatterChart>
      <c:valAx>
        <c:axId val="1277834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27784000"/>
        <c:crosses val="autoZero"/>
        <c:crossBetween val="midCat"/>
      </c:valAx>
      <c:valAx>
        <c:axId val="12778400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27783424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5" Type="http://schemas.openxmlformats.org/officeDocument/2006/relationships/chart" Target="../charts/chart8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261936</xdr:colOff>
      <xdr:row>0</xdr:row>
      <xdr:rowOff>104775</xdr:rowOff>
    </xdr:from>
    <xdr:to>
      <xdr:col>8</xdr:col>
      <xdr:colOff>171449</xdr:colOff>
      <xdr:row>7</xdr:row>
      <xdr:rowOff>161925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138112</xdr:colOff>
      <xdr:row>42</xdr:row>
      <xdr:rowOff>76200</xdr:rowOff>
    </xdr:from>
    <xdr:to>
      <xdr:col>7</xdr:col>
      <xdr:colOff>247650</xdr:colOff>
      <xdr:row>49</xdr:row>
      <xdr:rowOff>85725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185737</xdr:colOff>
      <xdr:row>34</xdr:row>
      <xdr:rowOff>38100</xdr:rowOff>
    </xdr:from>
    <xdr:to>
      <xdr:col>7</xdr:col>
      <xdr:colOff>190500</xdr:colOff>
      <xdr:row>39</xdr:row>
      <xdr:rowOff>142875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242887</xdr:colOff>
      <xdr:row>0</xdr:row>
      <xdr:rowOff>47625</xdr:rowOff>
    </xdr:from>
    <xdr:to>
      <xdr:col>7</xdr:col>
      <xdr:colOff>190500</xdr:colOff>
      <xdr:row>5</xdr:row>
      <xdr:rowOff>152400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252412</xdr:colOff>
      <xdr:row>9</xdr:row>
      <xdr:rowOff>180974</xdr:rowOff>
    </xdr:from>
    <xdr:to>
      <xdr:col>8</xdr:col>
      <xdr:colOff>342900</xdr:colOff>
      <xdr:row>16</xdr:row>
      <xdr:rowOff>190499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471487</xdr:colOff>
      <xdr:row>18</xdr:row>
      <xdr:rowOff>95250</xdr:rowOff>
    </xdr:from>
    <xdr:to>
      <xdr:col>8</xdr:col>
      <xdr:colOff>323850</xdr:colOff>
      <xdr:row>25</xdr:row>
      <xdr:rowOff>180975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547687</xdr:colOff>
      <xdr:row>33</xdr:row>
      <xdr:rowOff>142875</xdr:rowOff>
    </xdr:from>
    <xdr:to>
      <xdr:col>8</xdr:col>
      <xdr:colOff>200025</xdr:colOff>
      <xdr:row>41</xdr:row>
      <xdr:rowOff>66675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266699</xdr:colOff>
      <xdr:row>45</xdr:row>
      <xdr:rowOff>71436</xdr:rowOff>
    </xdr:from>
    <xdr:to>
      <xdr:col>10</xdr:col>
      <xdr:colOff>466724</xdr:colOff>
      <xdr:row>58</xdr:row>
      <xdr:rowOff>190499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5"/>
  <sheetViews>
    <sheetView workbookViewId="0">
      <selection sqref="A1:A3"/>
    </sheetView>
  </sheetViews>
  <sheetFormatPr defaultRowHeight="15" x14ac:dyDescent="0.25"/>
  <sheetData>
    <row r="1" spans="1:3" x14ac:dyDescent="0.25">
      <c r="A1" t="s">
        <v>1</v>
      </c>
      <c r="B1">
        <v>0</v>
      </c>
      <c r="C1">
        <v>0</v>
      </c>
    </row>
    <row r="2" spans="1:3" x14ac:dyDescent="0.25">
      <c r="A2" t="s">
        <v>2</v>
      </c>
      <c r="B2">
        <v>4</v>
      </c>
      <c r="C2">
        <v>0</v>
      </c>
    </row>
    <row r="3" spans="1:3" x14ac:dyDescent="0.25">
      <c r="A3" t="s">
        <v>3</v>
      </c>
      <c r="B3">
        <v>0</v>
      </c>
      <c r="C3">
        <v>3</v>
      </c>
    </row>
    <row r="9" spans="1:3" x14ac:dyDescent="0.25">
      <c r="A9" t="s">
        <v>0</v>
      </c>
    </row>
    <row r="10" spans="1:3" x14ac:dyDescent="0.25">
      <c r="B10">
        <v>-2</v>
      </c>
      <c r="C10">
        <v>-1</v>
      </c>
    </row>
    <row r="12" spans="1:3" x14ac:dyDescent="0.25">
      <c r="A12" t="s">
        <v>1</v>
      </c>
      <c r="B12">
        <f>B1+B$10</f>
        <v>-2</v>
      </c>
      <c r="C12">
        <f t="shared" ref="C12:C14" si="0">C1+C$10</f>
        <v>-1</v>
      </c>
    </row>
    <row r="13" spans="1:3" x14ac:dyDescent="0.25">
      <c r="A13" t="s">
        <v>2</v>
      </c>
      <c r="B13">
        <f t="shared" ref="B13" si="1">B2+B$10</f>
        <v>2</v>
      </c>
      <c r="C13">
        <f t="shared" si="0"/>
        <v>-1</v>
      </c>
    </row>
    <row r="14" spans="1:3" x14ac:dyDescent="0.25">
      <c r="A14" t="s">
        <v>3</v>
      </c>
      <c r="B14">
        <f t="shared" ref="B14" si="2">B3+B$10</f>
        <v>-2</v>
      </c>
      <c r="C14">
        <f t="shared" si="0"/>
        <v>2</v>
      </c>
    </row>
    <row r="17" spans="1:3" x14ac:dyDescent="0.25">
      <c r="A17" t="s">
        <v>4</v>
      </c>
    </row>
    <row r="19" spans="1:3" x14ac:dyDescent="0.25">
      <c r="A19" t="s">
        <v>1</v>
      </c>
      <c r="B19">
        <f>C12</f>
        <v>-1</v>
      </c>
      <c r="C19">
        <f>B12</f>
        <v>-2</v>
      </c>
    </row>
    <row r="20" spans="1:3" x14ac:dyDescent="0.25">
      <c r="A20" t="s">
        <v>2</v>
      </c>
      <c r="B20">
        <f t="shared" ref="B20:B21" si="3">C13</f>
        <v>-1</v>
      </c>
      <c r="C20">
        <f t="shared" ref="C20:C21" si="4">B13</f>
        <v>2</v>
      </c>
    </row>
    <row r="21" spans="1:3" x14ac:dyDescent="0.25">
      <c r="A21" t="s">
        <v>3</v>
      </c>
      <c r="B21">
        <f t="shared" si="3"/>
        <v>2</v>
      </c>
      <c r="C21">
        <f t="shared" si="4"/>
        <v>-2</v>
      </c>
    </row>
    <row r="24" spans="1:3" x14ac:dyDescent="0.25">
      <c r="A24" t="s">
        <v>5</v>
      </c>
    </row>
    <row r="25" spans="1:3" x14ac:dyDescent="0.25">
      <c r="B25">
        <f>3/5</f>
        <v>0.6</v>
      </c>
      <c r="C25">
        <f>4/5</f>
        <v>0.8</v>
      </c>
    </row>
    <row r="26" spans="1:3" x14ac:dyDescent="0.25">
      <c r="B26">
        <f>-4/5</f>
        <v>-0.8</v>
      </c>
      <c r="C26">
        <f>3/5</f>
        <v>0.6</v>
      </c>
    </row>
    <row r="29" spans="1:3" x14ac:dyDescent="0.25">
      <c r="A29" t="s">
        <v>1</v>
      </c>
      <c r="B29">
        <f>B$25*B19+C$25*C19</f>
        <v>-2.2000000000000002</v>
      </c>
      <c r="C29">
        <f>B$26*B19+C$26*C19</f>
        <v>-0.39999999999999991</v>
      </c>
    </row>
    <row r="30" spans="1:3" x14ac:dyDescent="0.25">
      <c r="A30" t="s">
        <v>2</v>
      </c>
      <c r="B30">
        <f t="shared" ref="B30:B31" si="5">B$25*B20+C$25*C20</f>
        <v>1</v>
      </c>
      <c r="C30">
        <f t="shared" ref="C30:C31" si="6">B$26*B20+C$26*C20</f>
        <v>2</v>
      </c>
    </row>
    <row r="31" spans="1:3" x14ac:dyDescent="0.25">
      <c r="A31" t="s">
        <v>3</v>
      </c>
      <c r="B31">
        <f t="shared" si="5"/>
        <v>-0.40000000000000013</v>
      </c>
      <c r="C31">
        <f t="shared" si="6"/>
        <v>-2.8</v>
      </c>
    </row>
    <row r="34" spans="1:3" x14ac:dyDescent="0.25">
      <c r="A34" t="s">
        <v>6</v>
      </c>
      <c r="B34">
        <v>5</v>
      </c>
    </row>
    <row r="36" spans="1:3" x14ac:dyDescent="0.25">
      <c r="A36" t="s">
        <v>1</v>
      </c>
      <c r="B36">
        <f>$B$34*B29</f>
        <v>-11</v>
      </c>
      <c r="C36">
        <f t="shared" ref="C36:C38" si="7">$B$34*C29</f>
        <v>-1.9999999999999996</v>
      </c>
    </row>
    <row r="37" spans="1:3" x14ac:dyDescent="0.25">
      <c r="A37" t="s">
        <v>2</v>
      </c>
      <c r="B37">
        <f t="shared" ref="B37" si="8">$B$34*B30</f>
        <v>5</v>
      </c>
      <c r="C37">
        <f t="shared" si="7"/>
        <v>10</v>
      </c>
    </row>
    <row r="38" spans="1:3" x14ac:dyDescent="0.25">
      <c r="A38" t="s">
        <v>3</v>
      </c>
      <c r="B38">
        <f t="shared" ref="B38" si="9">$B$34*B31</f>
        <v>-2.0000000000000009</v>
      </c>
      <c r="C38">
        <f t="shared" si="7"/>
        <v>-14</v>
      </c>
    </row>
    <row r="41" spans="1:3" x14ac:dyDescent="0.25">
      <c r="A41" t="s">
        <v>4</v>
      </c>
    </row>
    <row r="43" spans="1:3" x14ac:dyDescent="0.25">
      <c r="A43" t="s">
        <v>1</v>
      </c>
      <c r="B43">
        <f>C36</f>
        <v>-1.9999999999999996</v>
      </c>
      <c r="C43">
        <f>B36</f>
        <v>-11</v>
      </c>
    </row>
    <row r="44" spans="1:3" x14ac:dyDescent="0.25">
      <c r="A44" t="s">
        <v>2</v>
      </c>
      <c r="B44">
        <f t="shared" ref="B44:B45" si="10">C37</f>
        <v>10</v>
      </c>
      <c r="C44">
        <f t="shared" ref="C44:C45" si="11">B37</f>
        <v>5</v>
      </c>
    </row>
    <row r="45" spans="1:3" x14ac:dyDescent="0.25">
      <c r="A45" t="s">
        <v>3</v>
      </c>
      <c r="B45">
        <f t="shared" si="10"/>
        <v>-14</v>
      </c>
      <c r="C45">
        <f t="shared" si="11"/>
        <v>-2.0000000000000009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"/>
  <sheetViews>
    <sheetView tabSelected="1" workbookViewId="0">
      <selection activeCell="L26" sqref="L26"/>
    </sheetView>
  </sheetViews>
  <sheetFormatPr defaultRowHeight="15" x14ac:dyDescent="0.25"/>
  <sheetData>
    <row r="1" spans="1:10" x14ac:dyDescent="0.25">
      <c r="A1" t="s">
        <v>11</v>
      </c>
      <c r="G1" t="s">
        <v>11</v>
      </c>
    </row>
    <row r="2" spans="1:10" x14ac:dyDescent="0.25">
      <c r="A2" t="s">
        <v>1</v>
      </c>
      <c r="B2">
        <v>-2</v>
      </c>
      <c r="C2">
        <v>4</v>
      </c>
      <c r="G2" t="s">
        <v>1</v>
      </c>
      <c r="H2">
        <v>2</v>
      </c>
      <c r="I2">
        <v>3</v>
      </c>
    </row>
    <row r="3" spans="1:10" x14ac:dyDescent="0.25">
      <c r="A3" t="s">
        <v>2</v>
      </c>
      <c r="B3">
        <v>3</v>
      </c>
      <c r="C3">
        <v>0</v>
      </c>
      <c r="G3" t="s">
        <v>2</v>
      </c>
      <c r="H3">
        <v>3</v>
      </c>
      <c r="I3">
        <v>-2</v>
      </c>
    </row>
    <row r="4" spans="1:10" x14ac:dyDescent="0.25">
      <c r="A4" t="s">
        <v>3</v>
      </c>
      <c r="B4">
        <v>-4</v>
      </c>
      <c r="C4">
        <v>1</v>
      </c>
      <c r="G4" t="s">
        <v>3</v>
      </c>
      <c r="H4">
        <v>-3</v>
      </c>
      <c r="I4">
        <v>2</v>
      </c>
    </row>
    <row r="7" spans="1:10" x14ac:dyDescent="0.25">
      <c r="A7" t="s">
        <v>7</v>
      </c>
      <c r="B7">
        <f>(B2-B3)^2</f>
        <v>25</v>
      </c>
      <c r="C7">
        <f>(C2-C3)^2</f>
        <v>16</v>
      </c>
      <c r="D7">
        <f>SUM(B7:C7)</f>
        <v>41</v>
      </c>
      <c r="G7" t="s">
        <v>7</v>
      </c>
      <c r="H7">
        <f>(H2-H3)^2</f>
        <v>1</v>
      </c>
      <c r="I7">
        <f>(I2-I3)^2</f>
        <v>25</v>
      </c>
      <c r="J7">
        <f>SUM(H7:I7)</f>
        <v>26</v>
      </c>
    </row>
    <row r="8" spans="1:10" x14ac:dyDescent="0.25">
      <c r="A8" t="s">
        <v>8</v>
      </c>
      <c r="B8">
        <f>(B3-B4)^2</f>
        <v>49</v>
      </c>
      <c r="C8">
        <f>(C3-C4)^2</f>
        <v>1</v>
      </c>
      <c r="D8">
        <f>SUM(B8:C8)</f>
        <v>50</v>
      </c>
      <c r="G8" t="s">
        <v>8</v>
      </c>
      <c r="H8">
        <f>(H3-H4)^2</f>
        <v>36</v>
      </c>
      <c r="I8">
        <f>(I3-I4)^2</f>
        <v>16</v>
      </c>
      <c r="J8">
        <f>SUM(H8:I8)</f>
        <v>52</v>
      </c>
    </row>
    <row r="9" spans="1:10" x14ac:dyDescent="0.25">
      <c r="A9" t="s">
        <v>9</v>
      </c>
      <c r="B9">
        <f>(B4-B2)^2</f>
        <v>4</v>
      </c>
      <c r="C9">
        <f>(C4-C2)^2</f>
        <v>9</v>
      </c>
      <c r="D9">
        <f>SUM(B9:C9)</f>
        <v>13</v>
      </c>
      <c r="G9" t="s">
        <v>9</v>
      </c>
      <c r="H9">
        <f>(H4-H2)^2</f>
        <v>25</v>
      </c>
      <c r="I9">
        <f>(I4-I2)^2</f>
        <v>1</v>
      </c>
      <c r="J9">
        <f>SUM(H9:I9)</f>
        <v>26</v>
      </c>
    </row>
    <row r="12" spans="1:10" x14ac:dyDescent="0.25">
      <c r="A12" t="s">
        <v>10</v>
      </c>
      <c r="G12" t="s">
        <v>10</v>
      </c>
    </row>
    <row r="13" spans="1:10" x14ac:dyDescent="0.25">
      <c r="A13" t="s">
        <v>1</v>
      </c>
      <c r="B13">
        <v>2</v>
      </c>
      <c r="C13">
        <v>3</v>
      </c>
      <c r="G13" t="s">
        <v>1</v>
      </c>
      <c r="H13">
        <v>-2</v>
      </c>
      <c r="I13">
        <v>3</v>
      </c>
    </row>
    <row r="14" spans="1:10" x14ac:dyDescent="0.25">
      <c r="A14" t="s">
        <v>2</v>
      </c>
      <c r="B14">
        <v>4</v>
      </c>
      <c r="C14">
        <v>-2</v>
      </c>
      <c r="G14" t="s">
        <v>2</v>
      </c>
      <c r="H14">
        <v>2</v>
      </c>
      <c r="I14">
        <v>2</v>
      </c>
    </row>
    <row r="15" spans="1:10" x14ac:dyDescent="0.25">
      <c r="A15" t="s">
        <v>3</v>
      </c>
      <c r="B15">
        <v>-3</v>
      </c>
      <c r="C15">
        <v>1</v>
      </c>
      <c r="G15" t="s">
        <v>3</v>
      </c>
      <c r="H15">
        <v>-4</v>
      </c>
      <c r="I15">
        <v>-4</v>
      </c>
    </row>
    <row r="18" spans="1:10" x14ac:dyDescent="0.25">
      <c r="A18" t="s">
        <v>7</v>
      </c>
      <c r="B18">
        <f>(B13-B14)^2</f>
        <v>4</v>
      </c>
      <c r="C18">
        <f>(C13-C14)^2</f>
        <v>25</v>
      </c>
      <c r="D18">
        <f>SUM(B18:C18)</f>
        <v>29</v>
      </c>
      <c r="G18" t="s">
        <v>7</v>
      </c>
      <c r="H18">
        <f>(H13-H14)^2</f>
        <v>16</v>
      </c>
      <c r="I18">
        <f>(I13-I14)^2</f>
        <v>1</v>
      </c>
      <c r="J18">
        <f>SUM(H18:I18)</f>
        <v>17</v>
      </c>
    </row>
    <row r="19" spans="1:10" x14ac:dyDescent="0.25">
      <c r="A19" t="s">
        <v>8</v>
      </c>
      <c r="B19">
        <f>(B14-B15)^2</f>
        <v>49</v>
      </c>
      <c r="C19">
        <f>(C14-C15)^2</f>
        <v>9</v>
      </c>
      <c r="D19">
        <f>SUM(B19:C19)</f>
        <v>58</v>
      </c>
      <c r="G19" t="s">
        <v>8</v>
      </c>
      <c r="H19">
        <f>(H14-H15)^2</f>
        <v>36</v>
      </c>
      <c r="I19">
        <f>(I14-I15)^2</f>
        <v>36</v>
      </c>
      <c r="J19">
        <f>SUM(H19:I19)</f>
        <v>72</v>
      </c>
    </row>
    <row r="20" spans="1:10" x14ac:dyDescent="0.25">
      <c r="A20" t="s">
        <v>9</v>
      </c>
      <c r="B20">
        <f>(B15-B13)^2</f>
        <v>25</v>
      </c>
      <c r="C20">
        <f>(C15-C13)^2</f>
        <v>4</v>
      </c>
      <c r="D20">
        <f>SUM(B20:C20)</f>
        <v>29</v>
      </c>
      <c r="G20" t="s">
        <v>9</v>
      </c>
      <c r="H20">
        <f>(H15-H13)^2</f>
        <v>4</v>
      </c>
      <c r="I20">
        <f>(I15-I13)^2</f>
        <v>49</v>
      </c>
      <c r="J20">
        <f>SUM(H20:I20)</f>
        <v>53</v>
      </c>
    </row>
    <row r="23" spans="1:10" x14ac:dyDescent="0.25">
      <c r="A23" t="s">
        <v>12</v>
      </c>
      <c r="G23" t="s">
        <v>12</v>
      </c>
    </row>
    <row r="24" spans="1:10" x14ac:dyDescent="0.25">
      <c r="A24" t="s">
        <v>1</v>
      </c>
      <c r="B24">
        <v>-2</v>
      </c>
      <c r="C24">
        <v>3</v>
      </c>
      <c r="G24" t="s">
        <v>1</v>
      </c>
      <c r="H24">
        <v>3</v>
      </c>
      <c r="I24">
        <v>2</v>
      </c>
    </row>
    <row r="25" spans="1:10" x14ac:dyDescent="0.25">
      <c r="A25" t="s">
        <v>2</v>
      </c>
      <c r="B25">
        <v>3</v>
      </c>
      <c r="C25">
        <v>1</v>
      </c>
      <c r="G25" t="s">
        <v>2</v>
      </c>
      <c r="H25">
        <v>-2</v>
      </c>
      <c r="I25">
        <v>4</v>
      </c>
    </row>
    <row r="26" spans="1:10" x14ac:dyDescent="0.25">
      <c r="A26" t="s">
        <v>3</v>
      </c>
      <c r="B26">
        <v>-4</v>
      </c>
      <c r="C26">
        <v>-1</v>
      </c>
      <c r="G26" t="s">
        <v>3</v>
      </c>
      <c r="H26">
        <v>1</v>
      </c>
      <c r="I26">
        <v>-3</v>
      </c>
    </row>
    <row r="29" spans="1:10" x14ac:dyDescent="0.25">
      <c r="A29" t="s">
        <v>7</v>
      </c>
      <c r="B29">
        <f>(B24-B25)^2</f>
        <v>25</v>
      </c>
      <c r="C29">
        <f>(C24-C25)^2</f>
        <v>4</v>
      </c>
      <c r="D29">
        <f>SUM(B29:C29)</f>
        <v>29</v>
      </c>
      <c r="G29" t="s">
        <v>7</v>
      </c>
      <c r="H29">
        <f>(H24-H25)^2</f>
        <v>25</v>
      </c>
      <c r="I29">
        <f>(I24-I25)^2</f>
        <v>4</v>
      </c>
      <c r="J29">
        <f>SUM(H29:I29)</f>
        <v>29</v>
      </c>
    </row>
    <row r="30" spans="1:10" x14ac:dyDescent="0.25">
      <c r="A30" t="s">
        <v>8</v>
      </c>
      <c r="B30">
        <f>(B25-B26)^2</f>
        <v>49</v>
      </c>
      <c r="C30">
        <f>(C25-C26)^2</f>
        <v>4</v>
      </c>
      <c r="D30">
        <f>SUM(B30:C30)</f>
        <v>53</v>
      </c>
      <c r="G30" t="s">
        <v>8</v>
      </c>
      <c r="H30">
        <f>(H25-H26)^2</f>
        <v>9</v>
      </c>
      <c r="I30">
        <f>(I25-I26)^2</f>
        <v>49</v>
      </c>
      <c r="J30">
        <f>SUM(H30:I30)</f>
        <v>58</v>
      </c>
    </row>
    <row r="31" spans="1:10" x14ac:dyDescent="0.25">
      <c r="A31" t="s">
        <v>9</v>
      </c>
      <c r="B31">
        <f>(B26-B24)^2</f>
        <v>4</v>
      </c>
      <c r="C31">
        <f>(C26-C24)^2</f>
        <v>16</v>
      </c>
      <c r="D31">
        <f>SUM(B31:C31)</f>
        <v>20</v>
      </c>
      <c r="G31" t="s">
        <v>9</v>
      </c>
      <c r="H31">
        <f>(H26-H24)^2</f>
        <v>4</v>
      </c>
      <c r="I31">
        <f>(I26-I24)^2</f>
        <v>25</v>
      </c>
      <c r="J31">
        <f>SUM(H31:I31)</f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0"/>
  <sheetViews>
    <sheetView topLeftCell="A10" workbookViewId="0">
      <selection activeCell="J53" sqref="J53"/>
    </sheetView>
  </sheetViews>
  <sheetFormatPr defaultRowHeight="15" x14ac:dyDescent="0.25"/>
  <sheetData>
    <row r="1" spans="1:3" x14ac:dyDescent="0.25">
      <c r="A1" t="s">
        <v>1</v>
      </c>
      <c r="B1">
        <v>0</v>
      </c>
      <c r="C1">
        <v>0</v>
      </c>
    </row>
    <row r="2" spans="1:3" x14ac:dyDescent="0.25">
      <c r="A2" t="s">
        <v>2</v>
      </c>
      <c r="B2">
        <v>4</v>
      </c>
      <c r="C2">
        <v>1</v>
      </c>
    </row>
    <row r="3" spans="1:3" x14ac:dyDescent="0.25">
      <c r="A3" t="s">
        <v>3</v>
      </c>
      <c r="B3">
        <v>0</v>
      </c>
      <c r="C3">
        <v>3</v>
      </c>
    </row>
    <row r="4" spans="1:3" x14ac:dyDescent="0.25">
      <c r="A4" t="s">
        <v>13</v>
      </c>
      <c r="B4">
        <v>4</v>
      </c>
      <c r="C4">
        <v>4</v>
      </c>
    </row>
    <row r="9" spans="1:3" x14ac:dyDescent="0.25">
      <c r="A9" t="s">
        <v>0</v>
      </c>
    </row>
    <row r="10" spans="1:3" x14ac:dyDescent="0.25">
      <c r="B10">
        <v>-2</v>
      </c>
      <c r="C10">
        <v>-1</v>
      </c>
    </row>
    <row r="12" spans="1:3" x14ac:dyDescent="0.25">
      <c r="A12" t="s">
        <v>1</v>
      </c>
      <c r="B12">
        <f>B1+B$10</f>
        <v>-2</v>
      </c>
      <c r="C12">
        <f t="shared" ref="C12:C15" si="0">C1+C$10</f>
        <v>-1</v>
      </c>
    </row>
    <row r="13" spans="1:3" x14ac:dyDescent="0.25">
      <c r="A13" t="s">
        <v>2</v>
      </c>
      <c r="B13">
        <f t="shared" ref="B13:B15" si="1">B2+B$10</f>
        <v>2</v>
      </c>
      <c r="C13">
        <f t="shared" si="0"/>
        <v>0</v>
      </c>
    </row>
    <row r="14" spans="1:3" x14ac:dyDescent="0.25">
      <c r="A14" t="s">
        <v>3</v>
      </c>
      <c r="B14">
        <f t="shared" si="1"/>
        <v>-2</v>
      </c>
      <c r="C14">
        <f t="shared" si="0"/>
        <v>2</v>
      </c>
    </row>
    <row r="15" spans="1:3" x14ac:dyDescent="0.25">
      <c r="A15" t="s">
        <v>13</v>
      </c>
      <c r="B15">
        <f t="shared" si="1"/>
        <v>2</v>
      </c>
      <c r="C15">
        <f t="shared" si="0"/>
        <v>3</v>
      </c>
    </row>
    <row r="18" spans="1:3" x14ac:dyDescent="0.25">
      <c r="A18" t="s">
        <v>4</v>
      </c>
    </row>
    <row r="20" spans="1:3" x14ac:dyDescent="0.25">
      <c r="A20" t="s">
        <v>1</v>
      </c>
      <c r="B20">
        <f>C12</f>
        <v>-1</v>
      </c>
      <c r="C20">
        <f>B12</f>
        <v>-2</v>
      </c>
    </row>
    <row r="21" spans="1:3" x14ac:dyDescent="0.25">
      <c r="A21" t="s">
        <v>2</v>
      </c>
      <c r="B21">
        <f>C13</f>
        <v>0</v>
      </c>
      <c r="C21">
        <f>B13</f>
        <v>2</v>
      </c>
    </row>
    <row r="22" spans="1:3" x14ac:dyDescent="0.25">
      <c r="A22" t="s">
        <v>3</v>
      </c>
      <c r="B22">
        <f>C14</f>
        <v>2</v>
      </c>
      <c r="C22">
        <f>B14</f>
        <v>-2</v>
      </c>
    </row>
    <row r="23" spans="1:3" x14ac:dyDescent="0.25">
      <c r="A23" t="s">
        <v>13</v>
      </c>
      <c r="B23">
        <f>C15</f>
        <v>3</v>
      </c>
      <c r="C23">
        <f>B15</f>
        <v>2</v>
      </c>
    </row>
    <row r="26" spans="1:3" x14ac:dyDescent="0.25">
      <c r="A26" t="s">
        <v>5</v>
      </c>
    </row>
    <row r="27" spans="1:3" x14ac:dyDescent="0.25">
      <c r="B27">
        <f>3/5</f>
        <v>0.6</v>
      </c>
      <c r="C27">
        <f>4/5</f>
        <v>0.8</v>
      </c>
    </row>
    <row r="28" spans="1:3" x14ac:dyDescent="0.25">
      <c r="B28">
        <f>-4/5</f>
        <v>-0.8</v>
      </c>
      <c r="C28">
        <f>3/5</f>
        <v>0.6</v>
      </c>
    </row>
    <row r="31" spans="1:3" x14ac:dyDescent="0.25">
      <c r="A31" t="s">
        <v>1</v>
      </c>
      <c r="B31">
        <f>B$27*B20+C$27*C20</f>
        <v>-2.2000000000000002</v>
      </c>
      <c r="C31">
        <f>B$28*B20+C$28*C20</f>
        <v>-0.39999999999999991</v>
      </c>
    </row>
    <row r="32" spans="1:3" x14ac:dyDescent="0.25">
      <c r="A32" t="s">
        <v>2</v>
      </c>
      <c r="B32">
        <f>B$27*B21+C$27*C21</f>
        <v>1.6</v>
      </c>
      <c r="C32">
        <f>B$28*B21+C$28*C21</f>
        <v>1.2</v>
      </c>
    </row>
    <row r="33" spans="1:3" x14ac:dyDescent="0.25">
      <c r="A33" t="s">
        <v>3</v>
      </c>
      <c r="B33">
        <f>B$27*B22+C$27*C22</f>
        <v>-0.40000000000000013</v>
      </c>
      <c r="C33">
        <f>B$28*B22+C$28*C22</f>
        <v>-2.8</v>
      </c>
    </row>
    <row r="34" spans="1:3" x14ac:dyDescent="0.25">
      <c r="A34" t="s">
        <v>13</v>
      </c>
      <c r="B34">
        <f>B$27*B23+C$27*C23</f>
        <v>3.4</v>
      </c>
      <c r="C34">
        <f>B$28*B23+C$28*C23</f>
        <v>-1.2000000000000004</v>
      </c>
    </row>
    <row r="37" spans="1:3" x14ac:dyDescent="0.25">
      <c r="A37" t="s">
        <v>6</v>
      </c>
      <c r="B37">
        <v>5</v>
      </c>
    </row>
    <row r="39" spans="1:3" x14ac:dyDescent="0.25">
      <c r="A39" t="s">
        <v>1</v>
      </c>
      <c r="B39">
        <f t="shared" ref="B39:C42" si="2">$B$37*B31</f>
        <v>-11</v>
      </c>
      <c r="C39">
        <f t="shared" si="2"/>
        <v>-1.9999999999999996</v>
      </c>
    </row>
    <row r="40" spans="1:3" x14ac:dyDescent="0.25">
      <c r="A40" t="s">
        <v>2</v>
      </c>
      <c r="B40">
        <f t="shared" si="2"/>
        <v>8</v>
      </c>
      <c r="C40">
        <f t="shared" si="2"/>
        <v>6</v>
      </c>
    </row>
    <row r="41" spans="1:3" x14ac:dyDescent="0.25">
      <c r="A41" t="s">
        <v>3</v>
      </c>
      <c r="B41">
        <f t="shared" si="2"/>
        <v>-2.0000000000000009</v>
      </c>
      <c r="C41">
        <f t="shared" si="2"/>
        <v>-14</v>
      </c>
    </row>
    <row r="42" spans="1:3" x14ac:dyDescent="0.25">
      <c r="A42" t="s">
        <v>13</v>
      </c>
      <c r="B42">
        <f t="shared" si="2"/>
        <v>17</v>
      </c>
      <c r="C42">
        <f t="shared" si="2"/>
        <v>-6.0000000000000018</v>
      </c>
    </row>
    <row r="45" spans="1:3" x14ac:dyDescent="0.25">
      <c r="A45" t="s">
        <v>4</v>
      </c>
    </row>
    <row r="47" spans="1:3" x14ac:dyDescent="0.25">
      <c r="A47" t="s">
        <v>1</v>
      </c>
      <c r="B47">
        <f>C39</f>
        <v>-1.9999999999999996</v>
      </c>
      <c r="C47">
        <f>B39</f>
        <v>-11</v>
      </c>
    </row>
    <row r="48" spans="1:3" x14ac:dyDescent="0.25">
      <c r="A48" t="s">
        <v>2</v>
      </c>
      <c r="B48">
        <f t="shared" ref="B48:B49" si="3">C40</f>
        <v>6</v>
      </c>
      <c r="C48">
        <f t="shared" ref="C48:C49" si="4">B40</f>
        <v>8</v>
      </c>
    </row>
    <row r="49" spans="1:3" x14ac:dyDescent="0.25">
      <c r="A49" t="s">
        <v>3</v>
      </c>
      <c r="B49">
        <f t="shared" si="3"/>
        <v>-14</v>
      </c>
      <c r="C49">
        <f t="shared" si="4"/>
        <v>-2.0000000000000009</v>
      </c>
    </row>
    <row r="50" spans="1:3" x14ac:dyDescent="0.25">
      <c r="A50" t="s">
        <v>13</v>
      </c>
      <c r="B50">
        <f t="shared" ref="B50" si="5">C42</f>
        <v>-6.0000000000000018</v>
      </c>
      <c r="C50">
        <f t="shared" ref="C50" si="6">B42</f>
        <v>17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workbookViewId="0">
      <selection activeCell="B12" sqref="B12"/>
    </sheetView>
  </sheetViews>
  <sheetFormatPr defaultRowHeight="15" x14ac:dyDescent="0.25"/>
  <sheetData>
    <row r="1" spans="1:3" x14ac:dyDescent="0.25">
      <c r="A1" s="1">
        <v>3</v>
      </c>
      <c r="B1" s="1">
        <v>-2</v>
      </c>
      <c r="C1" s="1">
        <v>6</v>
      </c>
    </row>
    <row r="2" spans="1:3" x14ac:dyDescent="0.25">
      <c r="A2" s="1">
        <v>-2</v>
      </c>
      <c r="B2" s="1">
        <v>4</v>
      </c>
      <c r="C2" s="1">
        <v>-8</v>
      </c>
    </row>
    <row r="3" spans="1:3" x14ac:dyDescent="0.25">
      <c r="A3" s="1"/>
      <c r="B3" s="1"/>
      <c r="C3" s="1"/>
    </row>
    <row r="4" spans="1:3" x14ac:dyDescent="0.25">
      <c r="A4" s="1" t="s">
        <v>14</v>
      </c>
      <c r="B4" s="1">
        <f>A1*B2-A2*B1</f>
        <v>8</v>
      </c>
      <c r="C4" s="1" t="s">
        <v>15</v>
      </c>
    </row>
    <row r="5" spans="1:3" x14ac:dyDescent="0.25">
      <c r="A5" s="1" t="s">
        <v>16</v>
      </c>
      <c r="B5" s="1">
        <f>C1*B2-C2*B1</f>
        <v>8</v>
      </c>
      <c r="C5" s="1">
        <f>B5/B4</f>
        <v>1</v>
      </c>
    </row>
    <row r="6" spans="1:3" x14ac:dyDescent="0.25">
      <c r="A6" s="1" t="s">
        <v>17</v>
      </c>
      <c r="B6" s="1">
        <f>A1*C2-A2*C1</f>
        <v>-12</v>
      </c>
      <c r="C6" s="1">
        <f>B6/B4</f>
        <v>-1.5</v>
      </c>
    </row>
    <row r="11" spans="1:3" x14ac:dyDescent="0.25">
      <c r="A11" s="1">
        <v>3</v>
      </c>
      <c r="B11" s="1">
        <v>-4</v>
      </c>
      <c r="C11" s="1">
        <v>6</v>
      </c>
    </row>
    <row r="12" spans="1:3" x14ac:dyDescent="0.25">
      <c r="A12" s="1">
        <v>-2</v>
      </c>
      <c r="B12" s="1">
        <v>8</v>
      </c>
      <c r="C12" s="1">
        <v>-8</v>
      </c>
    </row>
    <row r="13" spans="1:3" x14ac:dyDescent="0.25">
      <c r="A13" s="1"/>
      <c r="B13" s="1"/>
      <c r="C13" s="1"/>
    </row>
    <row r="14" spans="1:3" x14ac:dyDescent="0.25">
      <c r="A14" s="1" t="s">
        <v>14</v>
      </c>
      <c r="B14" s="1">
        <f>A11*B12-A12*B11</f>
        <v>16</v>
      </c>
      <c r="C14" s="1" t="s">
        <v>15</v>
      </c>
    </row>
    <row r="15" spans="1:3" x14ac:dyDescent="0.25">
      <c r="A15" s="1" t="s">
        <v>16</v>
      </c>
      <c r="B15" s="1">
        <f>C11*B12-C12*B11</f>
        <v>16</v>
      </c>
      <c r="C15" s="1">
        <f>B15/B14</f>
        <v>1</v>
      </c>
    </row>
    <row r="16" spans="1:3" x14ac:dyDescent="0.25">
      <c r="A16" s="1" t="s">
        <v>17</v>
      </c>
      <c r="B16" s="1">
        <f>A11*C12-A12*C11</f>
        <v>-12</v>
      </c>
      <c r="C16" s="1">
        <f>B16/B14</f>
        <v>-0.75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Triangle</vt:lpstr>
      <vt:lpstr>Quad</vt:lpstr>
      <vt:lpstr>Sheet3</vt:lpstr>
    </vt:vector>
  </TitlesOfParts>
  <Company>Texas Tech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2014-09-18T17:43:29Z</dcterms:created>
  <dcterms:modified xsi:type="dcterms:W3CDTF">2014-09-22T15:18:06Z</dcterms:modified>
</cp:coreProperties>
</file>